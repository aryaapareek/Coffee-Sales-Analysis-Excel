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45F3AFF1-CCE1-4E9A-AA36-34D22A48A287}" xr6:coauthVersionLast="47" xr6:coauthVersionMax="47" xr10:uidLastSave="{00000000-0000-0000-0000-000000000000}"/>
  <bookViews>
    <workbookView xWindow="-108" yWindow="-108" windowWidth="23256" windowHeight="12456" xr2:uid="{00000000-000D-0000-FFFF-FFFF00000000}"/>
  </bookViews>
  <sheets>
    <sheet name="Dashboard" sheetId="23" r:id="rId1"/>
    <sheet name="Sheet1" sheetId="18" r:id="rId2"/>
    <sheet name="CountryChart" sheetId="19"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56"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17" l="1"/>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139" i="17"/>
  <c r="N258" i="17"/>
  <c r="N259" i="17"/>
  <c r="N260" i="17"/>
  <c r="N262" i="17"/>
  <c r="N435" i="17"/>
  <c r="N436" i="17"/>
  <c r="N438" i="17"/>
  <c r="N455" i="17"/>
  <c r="N456" i="17"/>
  <c r="N458" i="17"/>
  <c r="N459" i="17"/>
  <c r="N498" i="17"/>
  <c r="N515" i="17"/>
  <c r="N516" i="17"/>
  <c r="N555" i="17"/>
  <c r="N563" i="17"/>
  <c r="N564" i="17"/>
  <c r="N566" i="17"/>
  <c r="N658" i="17"/>
  <c r="N659" i="17"/>
  <c r="N660" i="17"/>
  <c r="N662" i="17"/>
  <c r="N679" i="17"/>
  <c r="N680" i="17"/>
  <c r="N818" i="17"/>
  <c r="N834" i="17"/>
  <c r="N835" i="17"/>
  <c r="N836" i="17"/>
  <c r="N838" i="17"/>
  <c r="N839" i="17"/>
  <c r="N843" i="17"/>
  <c r="N867" i="17"/>
  <c r="N868" i="17"/>
  <c r="N915" i="17"/>
  <c r="N916" i="17"/>
  <c r="N919" i="17"/>
  <c r="N932" i="17"/>
  <c r="N934" i="17"/>
  <c r="N935" i="17"/>
  <c r="N936" i="17"/>
  <c r="N978" i="17"/>
  <c r="M12" i="17"/>
  <c r="M13" i="17"/>
  <c r="M14" i="17"/>
  <c r="M19" i="17"/>
  <c r="M20" i="17"/>
  <c r="M39" i="17"/>
  <c r="M40" i="17"/>
  <c r="M41" i="17"/>
  <c r="M42" i="17"/>
  <c r="M43" i="17"/>
  <c r="M44" i="17"/>
  <c r="M45" i="17"/>
  <c r="M57" i="17"/>
  <c r="M58" i="17"/>
  <c r="M59" i="17"/>
  <c r="M87" i="17"/>
  <c r="M88" i="17"/>
  <c r="M89" i="17"/>
  <c r="M97" i="17"/>
  <c r="M104" i="17"/>
  <c r="M105" i="17"/>
  <c r="M106" i="17"/>
  <c r="M107" i="17"/>
  <c r="M119" i="17"/>
  <c r="M120" i="17"/>
  <c r="M121" i="17"/>
  <c r="M122" i="17"/>
  <c r="M123" i="17"/>
  <c r="M124" i="17"/>
  <c r="M138" i="17"/>
  <c r="M139" i="17"/>
  <c r="M140" i="17"/>
  <c r="M141" i="17"/>
  <c r="M153" i="17"/>
  <c r="M154" i="17"/>
  <c r="M155" i="17"/>
  <c r="M156" i="17"/>
  <c r="M157" i="17"/>
  <c r="M158" i="17"/>
  <c r="M175" i="17"/>
  <c r="M189" i="17"/>
  <c r="M190" i="17"/>
  <c r="M191" i="17"/>
  <c r="M192" i="17"/>
  <c r="M215" i="17"/>
  <c r="M216" i="17"/>
  <c r="M225" i="17"/>
  <c r="M226" i="17"/>
  <c r="M232" i="17"/>
  <c r="M233" i="17"/>
  <c r="M234" i="17"/>
  <c r="M247" i="17"/>
  <c r="M248" i="17"/>
  <c r="M249" i="17"/>
  <c r="M250" i="17"/>
  <c r="M251" i="17"/>
  <c r="M252" i="17"/>
  <c r="M266" i="17"/>
  <c r="M267" i="17"/>
  <c r="M280" i="17"/>
  <c r="M281" i="17"/>
  <c r="M282" i="17"/>
  <c r="M283" i="17"/>
  <c r="M284" i="17"/>
  <c r="M285" i="17"/>
  <c r="M286" i="17"/>
  <c r="M316" i="17"/>
  <c r="M317" i="17"/>
  <c r="M318" i="17"/>
  <c r="M319" i="17"/>
  <c r="M320" i="17"/>
  <c r="M343" i="17"/>
  <c r="M350" i="17"/>
  <c r="M351" i="17"/>
  <c r="M352" i="17"/>
  <c r="M359" i="17"/>
  <c r="M360" i="17"/>
  <c r="M375" i="17"/>
  <c r="M376" i="17"/>
  <c r="M391" i="17"/>
  <c r="M392" i="17"/>
  <c r="M393" i="17"/>
  <c r="M394" i="17"/>
  <c r="M402" i="17"/>
  <c r="M423" i="17"/>
  <c r="M424" i="17"/>
  <c r="M425" i="17"/>
  <c r="M426" i="17"/>
  <c r="M427" i="17"/>
  <c r="M428" i="17"/>
  <c r="M435" i="17"/>
  <c r="M441" i="17"/>
  <c r="M442" i="17"/>
  <c r="M443" i="17"/>
  <c r="M444" i="17"/>
  <c r="M455" i="17"/>
  <c r="M456" i="17"/>
  <c r="M457" i="17"/>
  <c r="M458" i="17"/>
  <c r="M459" i="17"/>
  <c r="M471" i="17"/>
  <c r="M472" i="17"/>
  <c r="M473" i="17"/>
  <c r="M474" i="17"/>
  <c r="M475" i="17"/>
  <c r="M476" i="17"/>
  <c r="M477" i="17"/>
  <c r="M478" i="17"/>
  <c r="M479" i="17"/>
  <c r="M487" i="17"/>
  <c r="M488" i="17"/>
  <c r="M489" i="17"/>
  <c r="M504" i="17"/>
  <c r="M505" i="17"/>
  <c r="M506" i="17"/>
  <c r="M507" i="17"/>
  <c r="M508" i="17"/>
  <c r="M509" i="17"/>
  <c r="M510" i="17"/>
  <c r="M511" i="17"/>
  <c r="M512" i="17"/>
  <c r="M538" i="17"/>
  <c r="M539" i="17"/>
  <c r="M540" i="17"/>
  <c r="M541" i="17"/>
  <c r="M542" i="17"/>
  <c r="M555" i="17"/>
  <c r="M560" i="17"/>
  <c r="M562" i="17"/>
  <c r="M572" i="17"/>
  <c r="M584" i="17"/>
  <c r="M588" i="17"/>
  <c r="M589" i="17"/>
  <c r="M590" i="17"/>
  <c r="M591" i="17"/>
  <c r="M592" i="17"/>
  <c r="M593" i="17"/>
  <c r="M599" i="17"/>
  <c r="M601" i="17"/>
  <c r="M615" i="17"/>
  <c r="M631" i="17"/>
  <c r="M632" i="17"/>
  <c r="M633" i="17"/>
  <c r="M635" i="17"/>
  <c r="M637" i="17"/>
  <c r="M647" i="17"/>
  <c r="M648" i="17"/>
  <c r="M649" i="17"/>
  <c r="M650" i="17"/>
  <c r="M652" i="17"/>
  <c r="M654" i="17"/>
  <c r="M655" i="17"/>
  <c r="M656" i="17"/>
  <c r="M663" i="17"/>
  <c r="M664" i="17"/>
  <c r="M665" i="17"/>
  <c r="M666" i="17"/>
  <c r="M667" i="17"/>
  <c r="M669" i="17"/>
  <c r="M671" i="17"/>
  <c r="M672" i="17"/>
  <c r="M673" i="17"/>
  <c r="M674" i="17"/>
  <c r="M681" i="17"/>
  <c r="M682" i="17"/>
  <c r="M683" i="17"/>
  <c r="M695" i="17"/>
  <c r="M711" i="17"/>
  <c r="M712" i="17"/>
  <c r="M713" i="17"/>
  <c r="M714" i="17"/>
  <c r="M727" i="17"/>
  <c r="M728" i="17"/>
  <c r="M729" i="17"/>
  <c r="M730" i="17"/>
  <c r="M731" i="17"/>
  <c r="M732" i="17"/>
  <c r="M743" i="17"/>
  <c r="M744" i="17"/>
  <c r="M745" i="17"/>
  <c r="M746" i="17"/>
  <c r="M747" i="17"/>
  <c r="M748" i="17"/>
  <c r="M749" i="17"/>
  <c r="M750" i="17"/>
  <c r="M759" i="17"/>
  <c r="M760" i="17"/>
  <c r="M761" i="17"/>
  <c r="M762" i="17"/>
  <c r="M763" i="17"/>
  <c r="M764" i="17"/>
  <c r="M765" i="17"/>
  <c r="M766" i="17"/>
  <c r="M768" i="17"/>
  <c r="M770" i="17"/>
  <c r="M775" i="17"/>
  <c r="M776" i="17"/>
  <c r="M777" i="17"/>
  <c r="M778" i="17"/>
  <c r="M779" i="17"/>
  <c r="M781" i="17"/>
  <c r="M782" i="17"/>
  <c r="M784" i="17"/>
  <c r="M786" i="17"/>
  <c r="M793" i="17"/>
  <c r="M794" i="17"/>
  <c r="M795" i="17"/>
  <c r="M800" i="17"/>
  <c r="M823" i="17"/>
  <c r="M824" i="17"/>
  <c r="M839" i="17"/>
  <c r="M840" i="17"/>
  <c r="M841" i="17"/>
  <c r="M842" i="17"/>
  <c r="M855" i="17"/>
  <c r="M856" i="17"/>
  <c r="M857" i="17"/>
  <c r="M858" i="17"/>
  <c r="M859" i="17"/>
  <c r="M860" i="17"/>
  <c r="M871" i="17"/>
  <c r="M872" i="17"/>
  <c r="M873" i="17"/>
  <c r="M874" i="17"/>
  <c r="M875" i="17"/>
  <c r="M876" i="17"/>
  <c r="M877" i="17"/>
  <c r="M878" i="17"/>
  <c r="M887" i="17"/>
  <c r="M888" i="17"/>
  <c r="M889" i="17"/>
  <c r="M890" i="17"/>
  <c r="M891" i="17"/>
  <c r="M892" i="17"/>
  <c r="M893" i="17"/>
  <c r="M894" i="17"/>
  <c r="M896" i="17"/>
  <c r="M898" i="17"/>
  <c r="M903" i="17"/>
  <c r="M904" i="17"/>
  <c r="M905" i="17"/>
  <c r="M906" i="17"/>
  <c r="M907" i="17"/>
  <c r="M909" i="17"/>
  <c r="M910" i="17"/>
  <c r="M912" i="17"/>
  <c r="M914" i="17"/>
  <c r="M921" i="17"/>
  <c r="M922" i="17"/>
  <c r="M923" i="17"/>
  <c r="M928" i="17"/>
  <c r="M951" i="17"/>
  <c r="M952" i="17"/>
  <c r="M967" i="17"/>
  <c r="M968" i="17"/>
  <c r="M969" i="17"/>
  <c r="M970" i="17"/>
  <c r="M983" i="17"/>
  <c r="M984" i="17"/>
  <c r="M985" i="17"/>
  <c r="M986" i="17"/>
  <c r="M987" i="17"/>
  <c r="M988" i="17"/>
  <c r="M999" i="17"/>
  <c r="M1000" i="17"/>
  <c r="M1001" i="17"/>
  <c r="L3" i="17"/>
  <c r="M3" i="17" s="1"/>
  <c r="L4" i="17"/>
  <c r="M4" i="17" s="1"/>
  <c r="L5" i="17"/>
  <c r="M5" i="17" s="1"/>
  <c r="L6" i="17"/>
  <c r="M6" i="17" s="1"/>
  <c r="L7" i="17"/>
  <c r="M7" i="17" s="1"/>
  <c r="L8" i="17"/>
  <c r="M8" i="17" s="1"/>
  <c r="L9" i="17"/>
  <c r="M9" i="17" s="1"/>
  <c r="L10" i="17"/>
  <c r="M10" i="17" s="1"/>
  <c r="L11" i="17"/>
  <c r="M11" i="17" s="1"/>
  <c r="L12" i="17"/>
  <c r="L13" i="17"/>
  <c r="L14" i="17"/>
  <c r="L15" i="17"/>
  <c r="M15" i="17" s="1"/>
  <c r="L16" i="17"/>
  <c r="M16" i="17" s="1"/>
  <c r="L17" i="17"/>
  <c r="M17" i="17" s="1"/>
  <c r="L18" i="17"/>
  <c r="M18" i="17" s="1"/>
  <c r="L19" i="17"/>
  <c r="L20" i="17"/>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L40" i="17"/>
  <c r="L41" i="17"/>
  <c r="L42" i="17"/>
  <c r="L43" i="17"/>
  <c r="L44" i="17"/>
  <c r="L45" i="17"/>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L58" i="17"/>
  <c r="L59" i="17"/>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L88" i="17"/>
  <c r="L89" i="17"/>
  <c r="L90" i="17"/>
  <c r="M90" i="17" s="1"/>
  <c r="L91" i="17"/>
  <c r="M91" i="17" s="1"/>
  <c r="L92" i="17"/>
  <c r="M92" i="17" s="1"/>
  <c r="L93" i="17"/>
  <c r="M93" i="17" s="1"/>
  <c r="L94" i="17"/>
  <c r="M94" i="17" s="1"/>
  <c r="L95" i="17"/>
  <c r="M95" i="17" s="1"/>
  <c r="L96" i="17"/>
  <c r="M96" i="17" s="1"/>
  <c r="L97" i="17"/>
  <c r="L98" i="17"/>
  <c r="M98" i="17" s="1"/>
  <c r="L99" i="17"/>
  <c r="M99" i="17" s="1"/>
  <c r="L100" i="17"/>
  <c r="M100" i="17" s="1"/>
  <c r="L101" i="17"/>
  <c r="M101" i="17" s="1"/>
  <c r="L102" i="17"/>
  <c r="M102" i="17" s="1"/>
  <c r="L103" i="17"/>
  <c r="M103" i="17" s="1"/>
  <c r="L104" i="17"/>
  <c r="L105" i="17"/>
  <c r="L106" i="17"/>
  <c r="L107" i="17"/>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L120" i="17"/>
  <c r="L121" i="17"/>
  <c r="L122" i="17"/>
  <c r="L123" i="17"/>
  <c r="L124" i="17"/>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L139" i="17"/>
  <c r="L140" i="17"/>
  <c r="L141" i="17"/>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L154" i="17"/>
  <c r="L155" i="17"/>
  <c r="L156" i="17"/>
  <c r="L157" i="17"/>
  <c r="L158" i="17"/>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L190" i="17"/>
  <c r="L191" i="17"/>
  <c r="L192" i="17"/>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L216" i="17"/>
  <c r="L217" i="17"/>
  <c r="M217" i="17" s="1"/>
  <c r="L218" i="17"/>
  <c r="M218" i="17" s="1"/>
  <c r="L219" i="17"/>
  <c r="M219" i="17" s="1"/>
  <c r="L220" i="17"/>
  <c r="M220" i="17" s="1"/>
  <c r="L221" i="17"/>
  <c r="M221" i="17" s="1"/>
  <c r="L222" i="17"/>
  <c r="M222" i="17" s="1"/>
  <c r="L223" i="17"/>
  <c r="M223" i="17" s="1"/>
  <c r="L224" i="17"/>
  <c r="M224" i="17" s="1"/>
  <c r="L225" i="17"/>
  <c r="L226" i="17"/>
  <c r="L227" i="17"/>
  <c r="M227" i="17" s="1"/>
  <c r="L228" i="17"/>
  <c r="M228" i="17" s="1"/>
  <c r="L229" i="17"/>
  <c r="M229" i="17" s="1"/>
  <c r="L230" i="17"/>
  <c r="M230" i="17" s="1"/>
  <c r="L231" i="17"/>
  <c r="M231" i="17" s="1"/>
  <c r="L232" i="17"/>
  <c r="L233" i="17"/>
  <c r="L234" i="17"/>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L248" i="17"/>
  <c r="L249" i="17"/>
  <c r="L250" i="17"/>
  <c r="L251" i="17"/>
  <c r="L252" i="17"/>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L267" i="17"/>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L281" i="17"/>
  <c r="L282" i="17"/>
  <c r="L283" i="17"/>
  <c r="L284" i="17"/>
  <c r="L285" i="17"/>
  <c r="L286" i="17"/>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L317" i="17"/>
  <c r="L318" i="17"/>
  <c r="L319" i="17"/>
  <c r="L320" i="17"/>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L344" i="17"/>
  <c r="M344" i="17" s="1"/>
  <c r="L345" i="17"/>
  <c r="M345" i="17" s="1"/>
  <c r="L346" i="17"/>
  <c r="M346" i="17" s="1"/>
  <c r="L347" i="17"/>
  <c r="M347" i="17" s="1"/>
  <c r="L348" i="17"/>
  <c r="M348" i="17" s="1"/>
  <c r="L349" i="17"/>
  <c r="M349" i="17" s="1"/>
  <c r="L350" i="17"/>
  <c r="L351" i="17"/>
  <c r="L352" i="17"/>
  <c r="L353" i="17"/>
  <c r="M353" i="17" s="1"/>
  <c r="L354" i="17"/>
  <c r="M354" i="17" s="1"/>
  <c r="L355" i="17"/>
  <c r="M355" i="17" s="1"/>
  <c r="L356" i="17"/>
  <c r="M356" i="17" s="1"/>
  <c r="L357" i="17"/>
  <c r="M357" i="17" s="1"/>
  <c r="L358" i="17"/>
  <c r="M358" i="17" s="1"/>
  <c r="L359" i="17"/>
  <c r="L360" i="17"/>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L376" i="17"/>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L392" i="17"/>
  <c r="L393" i="17"/>
  <c r="L394" i="17"/>
  <c r="L395" i="17"/>
  <c r="M395" i="17" s="1"/>
  <c r="L396" i="17"/>
  <c r="M396" i="17" s="1"/>
  <c r="L397" i="17"/>
  <c r="M397" i="17" s="1"/>
  <c r="L398" i="17"/>
  <c r="M398" i="17" s="1"/>
  <c r="L399" i="17"/>
  <c r="M399" i="17" s="1"/>
  <c r="L400" i="17"/>
  <c r="M400" i="17" s="1"/>
  <c r="L401" i="17"/>
  <c r="M401" i="17" s="1"/>
  <c r="L402" i="17"/>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L424" i="17"/>
  <c r="L425" i="17"/>
  <c r="L426" i="17"/>
  <c r="L427" i="17"/>
  <c r="L428" i="17"/>
  <c r="L429" i="17"/>
  <c r="M429" i="17" s="1"/>
  <c r="L430" i="17"/>
  <c r="M430" i="17" s="1"/>
  <c r="L431" i="17"/>
  <c r="M431" i="17" s="1"/>
  <c r="L432" i="17"/>
  <c r="M432" i="17" s="1"/>
  <c r="L433" i="17"/>
  <c r="M433" i="17" s="1"/>
  <c r="L434" i="17"/>
  <c r="M434" i="17" s="1"/>
  <c r="L435" i="17"/>
  <c r="L436" i="17"/>
  <c r="M436" i="17" s="1"/>
  <c r="L437" i="17"/>
  <c r="M437" i="17" s="1"/>
  <c r="L438" i="17"/>
  <c r="M438" i="17" s="1"/>
  <c r="L439" i="17"/>
  <c r="M439" i="17" s="1"/>
  <c r="L440" i="17"/>
  <c r="M440" i="17" s="1"/>
  <c r="L441" i="17"/>
  <c r="L442" i="17"/>
  <c r="L443" i="17"/>
  <c r="L444" i="17"/>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L456" i="17"/>
  <c r="L457" i="17"/>
  <c r="L458" i="17"/>
  <c r="L459" i="17"/>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L472" i="17"/>
  <c r="L473" i="17"/>
  <c r="L474" i="17"/>
  <c r="L475" i="17"/>
  <c r="L476" i="17"/>
  <c r="L477" i="17"/>
  <c r="L478" i="17"/>
  <c r="L479" i="17"/>
  <c r="L480" i="17"/>
  <c r="M480" i="17" s="1"/>
  <c r="L481" i="17"/>
  <c r="M481" i="17" s="1"/>
  <c r="L482" i="17"/>
  <c r="M482" i="17" s="1"/>
  <c r="L483" i="17"/>
  <c r="M483" i="17" s="1"/>
  <c r="L484" i="17"/>
  <c r="M484" i="17" s="1"/>
  <c r="L485" i="17"/>
  <c r="M485" i="17" s="1"/>
  <c r="L486" i="17"/>
  <c r="M486" i="17" s="1"/>
  <c r="L487" i="17"/>
  <c r="L488" i="17"/>
  <c r="L489" i="17"/>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L505" i="17"/>
  <c r="L506" i="17"/>
  <c r="L507" i="17"/>
  <c r="L508" i="17"/>
  <c r="L509" i="17"/>
  <c r="L510" i="17"/>
  <c r="L511" i="17"/>
  <c r="L512" i="17"/>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L539" i="17"/>
  <c r="L540" i="17"/>
  <c r="L541" i="17"/>
  <c r="L542" i="17"/>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L556" i="17"/>
  <c r="M556" i="17" s="1"/>
  <c r="L557" i="17"/>
  <c r="M557" i="17" s="1"/>
  <c r="L558" i="17"/>
  <c r="M558" i="17" s="1"/>
  <c r="L559" i="17"/>
  <c r="M559" i="17" s="1"/>
  <c r="L560" i="17"/>
  <c r="L561" i="17"/>
  <c r="M561" i="17" s="1"/>
  <c r="L562" i="17"/>
  <c r="L563" i="17"/>
  <c r="M563" i="17" s="1"/>
  <c r="L564" i="17"/>
  <c r="M564" i="17" s="1"/>
  <c r="L565" i="17"/>
  <c r="M565" i="17" s="1"/>
  <c r="L566" i="17"/>
  <c r="M566" i="17" s="1"/>
  <c r="L567" i="17"/>
  <c r="M567" i="17" s="1"/>
  <c r="L568" i="17"/>
  <c r="M568" i="17" s="1"/>
  <c r="L569" i="17"/>
  <c r="M569" i="17" s="1"/>
  <c r="L570" i="17"/>
  <c r="M570" i="17" s="1"/>
  <c r="L571" i="17"/>
  <c r="M571" i="17" s="1"/>
  <c r="L572" i="17"/>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L585" i="17"/>
  <c r="M585" i="17" s="1"/>
  <c r="L586" i="17"/>
  <c r="M586" i="17" s="1"/>
  <c r="L587" i="17"/>
  <c r="M587" i="17" s="1"/>
  <c r="L588" i="17"/>
  <c r="L589" i="17"/>
  <c r="L590" i="17"/>
  <c r="L591" i="17"/>
  <c r="L592" i="17"/>
  <c r="L593" i="17"/>
  <c r="L594" i="17"/>
  <c r="M594" i="17" s="1"/>
  <c r="L595" i="17"/>
  <c r="M595" i="17" s="1"/>
  <c r="L596" i="17"/>
  <c r="M596" i="17" s="1"/>
  <c r="L597" i="17"/>
  <c r="M597" i="17" s="1"/>
  <c r="L598" i="17"/>
  <c r="M598" i="17" s="1"/>
  <c r="L599" i="17"/>
  <c r="L600" i="17"/>
  <c r="M600" i="17" s="1"/>
  <c r="L601" i="17"/>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L632" i="17"/>
  <c r="L633" i="17"/>
  <c r="L634" i="17"/>
  <c r="M634" i="17" s="1"/>
  <c r="L635" i="17"/>
  <c r="L636" i="17"/>
  <c r="M636" i="17" s="1"/>
  <c r="L637" i="17"/>
  <c r="L638" i="17"/>
  <c r="M638" i="17" s="1"/>
  <c r="L639" i="17"/>
  <c r="M639" i="17" s="1"/>
  <c r="L640" i="17"/>
  <c r="M640" i="17" s="1"/>
  <c r="L641" i="17"/>
  <c r="M641" i="17" s="1"/>
  <c r="L642" i="17"/>
  <c r="M642" i="17" s="1"/>
  <c r="L643" i="17"/>
  <c r="M643" i="17" s="1"/>
  <c r="L644" i="17"/>
  <c r="M644" i="17" s="1"/>
  <c r="L645" i="17"/>
  <c r="M645" i="17" s="1"/>
  <c r="L646" i="17"/>
  <c r="M646" i="17" s="1"/>
  <c r="L647" i="17"/>
  <c r="L648" i="17"/>
  <c r="L649" i="17"/>
  <c r="L650" i="17"/>
  <c r="L651" i="17"/>
  <c r="M651" i="17" s="1"/>
  <c r="L652" i="17"/>
  <c r="L653" i="17"/>
  <c r="M653" i="17" s="1"/>
  <c r="L654" i="17"/>
  <c r="L655" i="17"/>
  <c r="L656" i="17"/>
  <c r="L657" i="17"/>
  <c r="M657" i="17" s="1"/>
  <c r="L658" i="17"/>
  <c r="M658" i="17" s="1"/>
  <c r="L659" i="17"/>
  <c r="M659" i="17" s="1"/>
  <c r="L660" i="17"/>
  <c r="M660" i="17" s="1"/>
  <c r="L661" i="17"/>
  <c r="M661" i="17" s="1"/>
  <c r="L662" i="17"/>
  <c r="M662" i="17" s="1"/>
  <c r="L663" i="17"/>
  <c r="L664" i="17"/>
  <c r="L665" i="17"/>
  <c r="L666" i="17"/>
  <c r="L667" i="17"/>
  <c r="L668" i="17"/>
  <c r="M668" i="17" s="1"/>
  <c r="L669" i="17"/>
  <c r="L670" i="17"/>
  <c r="M670" i="17" s="1"/>
  <c r="L671" i="17"/>
  <c r="L672" i="17"/>
  <c r="L673" i="17"/>
  <c r="L674" i="17"/>
  <c r="L675" i="17"/>
  <c r="M675" i="17" s="1"/>
  <c r="L676" i="17"/>
  <c r="M676" i="17" s="1"/>
  <c r="L677" i="17"/>
  <c r="M677" i="17" s="1"/>
  <c r="L678" i="17"/>
  <c r="M678" i="17" s="1"/>
  <c r="L679" i="17"/>
  <c r="M679" i="17" s="1"/>
  <c r="L680" i="17"/>
  <c r="M680" i="17" s="1"/>
  <c r="L681" i="17"/>
  <c r="L682" i="17"/>
  <c r="L683" i="17"/>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L712" i="17"/>
  <c r="L713" i="17"/>
  <c r="L714" i="17"/>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L728" i="17"/>
  <c r="L729" i="17"/>
  <c r="L730" i="17"/>
  <c r="L731" i="17"/>
  <c r="L732" i="17"/>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L744" i="17"/>
  <c r="L745" i="17"/>
  <c r="L746" i="17"/>
  <c r="L747" i="17"/>
  <c r="L748" i="17"/>
  <c r="L749" i="17"/>
  <c r="L750" i="17"/>
  <c r="L751" i="17"/>
  <c r="M751" i="17" s="1"/>
  <c r="L752" i="17"/>
  <c r="M752" i="17" s="1"/>
  <c r="L753" i="17"/>
  <c r="M753" i="17" s="1"/>
  <c r="L754" i="17"/>
  <c r="M754" i="17" s="1"/>
  <c r="L755" i="17"/>
  <c r="M755" i="17" s="1"/>
  <c r="L756" i="17"/>
  <c r="M756" i="17" s="1"/>
  <c r="L757" i="17"/>
  <c r="M757" i="17" s="1"/>
  <c r="L758" i="17"/>
  <c r="M758" i="17" s="1"/>
  <c r="L759" i="17"/>
  <c r="L760" i="17"/>
  <c r="L761" i="17"/>
  <c r="L762" i="17"/>
  <c r="L763" i="17"/>
  <c r="L764" i="17"/>
  <c r="L765" i="17"/>
  <c r="L766" i="17"/>
  <c r="L767" i="17"/>
  <c r="M767" i="17" s="1"/>
  <c r="L768" i="17"/>
  <c r="L769" i="17"/>
  <c r="M769" i="17" s="1"/>
  <c r="L770" i="17"/>
  <c r="L771" i="17"/>
  <c r="M771" i="17" s="1"/>
  <c r="L772" i="17"/>
  <c r="M772" i="17" s="1"/>
  <c r="L773" i="17"/>
  <c r="M773" i="17" s="1"/>
  <c r="L774" i="17"/>
  <c r="M774" i="17" s="1"/>
  <c r="L775" i="17"/>
  <c r="L776" i="17"/>
  <c r="L777" i="17"/>
  <c r="L778" i="17"/>
  <c r="L779" i="17"/>
  <c r="L780" i="17"/>
  <c r="M780" i="17" s="1"/>
  <c r="L781" i="17"/>
  <c r="L782" i="17"/>
  <c r="L783" i="17"/>
  <c r="M783" i="17" s="1"/>
  <c r="L784" i="17"/>
  <c r="L785" i="17"/>
  <c r="M785" i="17" s="1"/>
  <c r="L786" i="17"/>
  <c r="L787" i="17"/>
  <c r="M787" i="17" s="1"/>
  <c r="L788" i="17"/>
  <c r="M788" i="17" s="1"/>
  <c r="L789" i="17"/>
  <c r="M789" i="17" s="1"/>
  <c r="L790" i="17"/>
  <c r="M790" i="17" s="1"/>
  <c r="L791" i="17"/>
  <c r="M791" i="17" s="1"/>
  <c r="L792" i="17"/>
  <c r="M792" i="17" s="1"/>
  <c r="L793" i="17"/>
  <c r="L794" i="17"/>
  <c r="L795" i="17"/>
  <c r="L796" i="17"/>
  <c r="M796" i="17" s="1"/>
  <c r="L797" i="17"/>
  <c r="M797" i="17" s="1"/>
  <c r="L798" i="17"/>
  <c r="M798" i="17" s="1"/>
  <c r="L799" i="17"/>
  <c r="M799" i="17" s="1"/>
  <c r="L800" i="17"/>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L824" i="17"/>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L840" i="17"/>
  <c r="L841" i="17"/>
  <c r="L842" i="17"/>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L856" i="17"/>
  <c r="L857" i="17"/>
  <c r="L858" i="17"/>
  <c r="L859" i="17"/>
  <c r="L860" i="17"/>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L872" i="17"/>
  <c r="L873" i="17"/>
  <c r="L874" i="17"/>
  <c r="L875" i="17"/>
  <c r="L876" i="17"/>
  <c r="L877" i="17"/>
  <c r="L878" i="17"/>
  <c r="L879" i="17"/>
  <c r="M879" i="17" s="1"/>
  <c r="L880" i="17"/>
  <c r="M880" i="17" s="1"/>
  <c r="L881" i="17"/>
  <c r="M881" i="17" s="1"/>
  <c r="L882" i="17"/>
  <c r="M882" i="17" s="1"/>
  <c r="L883" i="17"/>
  <c r="M883" i="17" s="1"/>
  <c r="L884" i="17"/>
  <c r="M884" i="17" s="1"/>
  <c r="L885" i="17"/>
  <c r="M885" i="17" s="1"/>
  <c r="L886" i="17"/>
  <c r="M886" i="17" s="1"/>
  <c r="L887" i="17"/>
  <c r="L888" i="17"/>
  <c r="L889" i="17"/>
  <c r="L890" i="17"/>
  <c r="L891" i="17"/>
  <c r="L892" i="17"/>
  <c r="L893" i="17"/>
  <c r="L894" i="17"/>
  <c r="L895" i="17"/>
  <c r="M895" i="17" s="1"/>
  <c r="L896" i="17"/>
  <c r="L897" i="17"/>
  <c r="M897" i="17" s="1"/>
  <c r="L898" i="17"/>
  <c r="L899" i="17"/>
  <c r="M899" i="17" s="1"/>
  <c r="L900" i="17"/>
  <c r="M900" i="17" s="1"/>
  <c r="L901" i="17"/>
  <c r="M901" i="17" s="1"/>
  <c r="L902" i="17"/>
  <c r="M902" i="17" s="1"/>
  <c r="L903" i="17"/>
  <c r="L904" i="17"/>
  <c r="L905" i="17"/>
  <c r="L906" i="17"/>
  <c r="L907" i="17"/>
  <c r="L908" i="17"/>
  <c r="M908" i="17" s="1"/>
  <c r="L909" i="17"/>
  <c r="L910" i="17"/>
  <c r="L911" i="17"/>
  <c r="M911" i="17" s="1"/>
  <c r="L912" i="17"/>
  <c r="L913" i="17"/>
  <c r="M913" i="17" s="1"/>
  <c r="L914" i="17"/>
  <c r="L915" i="17"/>
  <c r="M915" i="17" s="1"/>
  <c r="L916" i="17"/>
  <c r="M916" i="17" s="1"/>
  <c r="L917" i="17"/>
  <c r="M917" i="17" s="1"/>
  <c r="L918" i="17"/>
  <c r="M918" i="17" s="1"/>
  <c r="L919" i="17"/>
  <c r="M919" i="17" s="1"/>
  <c r="L920" i="17"/>
  <c r="M920" i="17" s="1"/>
  <c r="L921" i="17"/>
  <c r="L922" i="17"/>
  <c r="L923" i="17"/>
  <c r="L924" i="17"/>
  <c r="M924" i="17" s="1"/>
  <c r="L925" i="17"/>
  <c r="M925" i="17" s="1"/>
  <c r="L926" i="17"/>
  <c r="M926" i="17" s="1"/>
  <c r="L927" i="17"/>
  <c r="M927" i="17" s="1"/>
  <c r="L928" i="17"/>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L952" i="17"/>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L968" i="17"/>
  <c r="L969" i="17"/>
  <c r="L970" i="17"/>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L984" i="17"/>
  <c r="L985" i="17"/>
  <c r="L986" i="17"/>
  <c r="L987" i="17"/>
  <c r="L988" i="17"/>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L1000" i="17"/>
  <c r="L1001"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I259" i="17"/>
  <c r="I260" i="17"/>
  <c r="I261" i="17"/>
  <c r="N261" i="17" s="1"/>
  <c r="I262" i="17"/>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I436" i="17"/>
  <c r="I437" i="17"/>
  <c r="N437" i="17" s="1"/>
  <c r="I438" i="17"/>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I456" i="17"/>
  <c r="I457" i="17"/>
  <c r="N457" i="17" s="1"/>
  <c r="I458" i="17"/>
  <c r="I459" i="17"/>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I516" i="17"/>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I556" i="17"/>
  <c r="N556" i="17" s="1"/>
  <c r="I557" i="17"/>
  <c r="N557" i="17" s="1"/>
  <c r="I558" i="17"/>
  <c r="N558" i="17" s="1"/>
  <c r="I559" i="17"/>
  <c r="N559" i="17" s="1"/>
  <c r="I560" i="17"/>
  <c r="N560" i="17" s="1"/>
  <c r="I561" i="17"/>
  <c r="N561" i="17" s="1"/>
  <c r="I562" i="17"/>
  <c r="N562" i="17" s="1"/>
  <c r="I563" i="17"/>
  <c r="I564" i="17"/>
  <c r="I565" i="17"/>
  <c r="N565" i="17" s="1"/>
  <c r="I566" i="17"/>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I659" i="17"/>
  <c r="I660" i="17"/>
  <c r="I661" i="17"/>
  <c r="N661" i="17" s="1"/>
  <c r="I662" i="17"/>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I680" i="17"/>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I835" i="17"/>
  <c r="I836" i="17"/>
  <c r="I837" i="17"/>
  <c r="N837" i="17" s="1"/>
  <c r="I838" i="17"/>
  <c r="I839" i="17"/>
  <c r="I840" i="17"/>
  <c r="N840" i="17" s="1"/>
  <c r="I841" i="17"/>
  <c r="N841" i="17" s="1"/>
  <c r="I842" i="17"/>
  <c r="N842" i="17" s="1"/>
  <c r="I843" i="17"/>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I868" i="17"/>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I916" i="17"/>
  <c r="I917" i="17"/>
  <c r="N917" i="17" s="1"/>
  <c r="I918" i="17"/>
  <c r="N918" i="17" s="1"/>
  <c r="I919" i="17"/>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I933" i="17"/>
  <c r="N933" i="17" s="1"/>
  <c r="I934" i="17"/>
  <c r="I935" i="17"/>
  <c r="I936" i="17"/>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J2" i="17"/>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<sst xmlns="http://schemas.openxmlformats.org/spreadsheetml/2006/main" count="11128" uniqueCount="6221">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</sst>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 #,##0.00_ ;_ &quot;₹&quot;\ * \-#,##0.00_ ;_ &quot;₹&quot;\ * &quot;-&quot;??_ ;_ @_ "/>
    <numFmt numFmtId="164" formatCode="0.0"/>
    <numFmt numFmtId="166" formatCode="dd/mmm/yyyy"/>
    <numFmt numFmtId="167" formatCode="0.0\ &quot;kg&quot;"/>
    <numFmt numFmtId="169" formatCode="_-[$$-409]* #,##0.00_ ;_-[$$-409]* \-#,##0.00\ ;_-[$$-409]* &quot;-&quot;??_ ;_-@_ "/>
    <numFmt numFmtId="171" formatCode="0_ ;\-0\ "/>
    <numFmt numFmtId="172" formatCode="[$$-409]#,##0_ ;\-[$$-409]#,##0\ "/>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1" fillId="0" borderId="0" xfId="0" applyNumberFormat="1" applyFont="1" applyAlignment="1">
      <alignment vertical="center"/>
    </xf>
    <xf numFmtId="167" fontId="0" fillId="0" borderId="0" xfId="0" applyNumberFormat="1"/>
    <xf numFmtId="169" fontId="0" fillId="0" borderId="0" xfId="1" applyNumberFormat="1" applyFont="1"/>
    <xf numFmtId="0" fontId="0" fillId="0" borderId="0" xfId="0" applyFont="1"/>
    <xf numFmtId="0" fontId="0" fillId="0" borderId="0" xfId="0" pivotButton="1"/>
    <xf numFmtId="171" fontId="0" fillId="0" borderId="0" xfId="0" applyNumberFormat="1"/>
    <xf numFmtId="172" fontId="0" fillId="0" borderId="0" xfId="0" applyNumberFormat="1"/>
  </cellXfs>
  <cellStyles count="2">
    <cellStyle name="Currency" xfId="1" builtinId="4"/>
    <cellStyle name="Normal" xfId="0" builtinId="0"/>
  </cellStyles>
  <dxfs count="21">
    <dxf>
      <numFmt numFmtId="0" formatCode="General"/>
    </dxf>
    <dxf>
      <font>
        <b val="0"/>
        <i val="0"/>
        <color theme="0" tint="-4.9989318521683403E-2"/>
        <name val="Calibri"/>
        <family val="2"/>
        <scheme val="minor"/>
      </font>
    </dxf>
    <dxf>
      <font>
        <b val="0"/>
        <i val="0"/>
        <color theme="0" tint="-4.9989318521683403E-2"/>
        <name val="Calibri"/>
        <family val="2"/>
        <scheme val="minor"/>
      </font>
      <fill>
        <patternFill>
          <bgColor rgb="FF833C0B"/>
        </patternFill>
      </fill>
    </dxf>
    <dxf>
      <numFmt numFmtId="0" formatCode="General"/>
    </dxf>
    <dxf>
      <font>
        <b/>
        <i val="0"/>
        <sz val="11"/>
        <color theme="0" tint="-4.9989318521683403E-2"/>
        <name val="Calibri"/>
        <family val="2"/>
        <scheme val="minor"/>
      </font>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b val="0"/>
        <i val="0"/>
        <sz val="11"/>
        <color theme="0" tint="-4.9989318521683403E-2"/>
        <name val="Calibri"/>
        <family val="2"/>
        <scheme val="minor"/>
      </font>
      <fill>
        <patternFill patternType="solid">
          <fgColor theme="0"/>
          <bgColor rgb="FF833C0B"/>
        </patternFill>
      </fill>
      <border>
        <left style="thin">
          <color rgb="FFA13A07"/>
        </left>
        <right style="thin">
          <color rgb="FFA13A07"/>
        </right>
        <top style="thin">
          <color rgb="FFA13A07"/>
        </top>
        <bottom style="thin">
          <color rgb="FFA13A07"/>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2"/>
        <name val="Calibri Light"/>
        <family val="2"/>
        <scheme val="maj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4" defaultTableStyle="TableStyleMedium2" defaultPivotStyle="PivotStyleMedium9">
    <tableStyle name="Coffee Slicer" pivot="0" table="0" count="7" xr9:uid="{B90C0E2D-74D8-4EEE-8D8D-3B6B2C0EDCB4}">
      <tableStyleElement type="wholeTable" dxfId="2"/>
      <tableStyleElement type="headerRow" dxfId="1"/>
    </tableStyle>
    <tableStyle name="Coffee Style Timeline" pivot="0" table="0" count="8" xr9:uid="{70AE6309-DE41-4D1D-B23B-BF76A30B1259}">
      <tableStyleElement type="wholeTable" dxfId="7"/>
      <tableStyleElement type="headerRow" dxfId="6"/>
    </tableStyle>
    <tableStyle name="Coffee_Style Timeline" pivot="0" table="0" count="8" xr9:uid="{8586EF52-B313-4F40-A953-66616761A4AE}">
      <tableStyleElement type="wholeTable" dxfId="5"/>
      <tableStyleElement type="headerRow" dxfId="4"/>
    </tableStyle>
    <tableStyle name="Timeline Style 1" pivot="0" table="0" count="8" xr9:uid="{5DA94B2B-F466-4254-8194-35907D95B871}">
      <tableStyleElement type="wholeTable" dxfId="9"/>
      <tableStyleElement type="headerRow" dxfId="8"/>
    </tableStyle>
  </tableStyles>
  <colors>
    <mruColors>
      <color rgb="FF632D09"/>
      <color rgb="FFFEF8F4"/>
      <color rgb="FFF5EDE5"/>
      <color rgb="FFFDF0E9"/>
      <color rgb="FF833C0B"/>
      <color rgb="FF812E05"/>
      <color rgb="FF903406"/>
      <color rgb="FFA13A07"/>
      <color rgb="FFB5522D"/>
      <color rgb="FF52729C"/>
    </mruColors>
  </colors>
  <extLst>
    <ext xmlns:x14="http://schemas.microsoft.com/office/spreadsheetml/2009/9/main" uri="{46F421CA-312F-682f-3DD2-61675219B42D}">
      <x14:dxfs count="5">
        <dxf>
          <fill>
            <patternFill>
              <bgColor theme="5" tint="-0.24994659260841701"/>
            </patternFill>
          </fill>
        </dxf>
        <dxf>
          <font>
            <b/>
            <i val="0"/>
            <color theme="0" tint="-4.9989318521683403E-2"/>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b/>
            <i val="0"/>
            <color theme="0" tint="-4.9989318521683403E-2"/>
            <name val="Calibri"/>
            <family val="2"/>
            <scheme val="minor"/>
          </font>
          <fill>
            <patternFill>
              <bgColor rgb="FF833C0B"/>
            </patternFill>
          </fill>
          <border>
            <left style="thin">
              <color theme="0" tint="-4.9989318521683403E-2"/>
            </left>
            <right style="thin">
              <color theme="0" tint="-4.9989318521683403E-2"/>
            </right>
            <top style="thin">
              <color theme="0" tint="-4.9989318521683403E-2"/>
            </top>
            <bottom style="thin">
              <color theme="0" tint="-4.9989318521683403E-2"/>
            </bottom>
          </border>
        </dxf>
        <dxf>
          <font>
            <b val="0"/>
            <i val="0"/>
            <color theme="0" tint="-4.9989318521683403E-2"/>
            <name val="Calibri"/>
            <family val="2"/>
            <scheme val="minor"/>
          </font>
        </dxf>
        <dxf>
          <font>
            <b val="0"/>
            <i val="0"/>
            <color theme="0" tint="-4.9989318521683403E-2"/>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x14:dxfs>
    </ext>
    <ext xmlns:x14="http://schemas.microsoft.com/office/spreadsheetml/2009/9/main" uri="{EB79DEF2-80B8-43e5-95BD-54CBDDF9020C}">
      <x14:slicerStyles defaultSlicerStyle="SlicerStyleLight1">
        <x14:slicerStyle name="Coffee Slicer">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18">
        <dxf>
          <fill>
            <patternFill patternType="solid">
              <fgColor theme="0" tint="-0.14993743705557422"/>
              <bgColor rgb="FFFDF0E9"/>
            </patternFill>
          </fill>
        </dxf>
        <dxf>
          <fill>
            <patternFill patternType="solid">
              <fgColor theme="0"/>
              <bgColor theme="5" tint="0.39994506668294322"/>
            </patternFill>
          </fill>
        </dxf>
        <dxf>
          <font>
            <b/>
            <i val="0"/>
            <sz val="9"/>
            <color theme="0" tint="-4.9989318521683403E-2"/>
            <name val="Calibri"/>
            <family val="2"/>
            <scheme val="minor"/>
          </font>
        </dxf>
        <dxf>
          <font>
            <b/>
            <i val="0"/>
            <sz val="9"/>
            <color theme="0" tint="-4.9989318521683403E-2"/>
            <name val="Calibri"/>
            <family val="2"/>
            <scheme val="minor"/>
          </font>
        </dxf>
        <dxf>
          <font>
            <b/>
            <i val="0"/>
            <sz val="9"/>
            <color theme="0" tint="-4.9989318521683403E-2"/>
            <name val="Calibri"/>
            <family val="2"/>
            <scheme val="minor"/>
          </font>
        </dxf>
        <dxf>
          <font>
            <b/>
            <i val="0"/>
            <sz val="10"/>
            <color theme="0" tint="-4.9989318521683403E-2"/>
            <name val="Calibri"/>
            <family val="2"/>
            <scheme val="min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b val="0"/>
            <i val="0"/>
            <sz val="9"/>
            <color rgb="FFC00000"/>
            <name val="Calibri"/>
            <family val="2"/>
            <scheme val="minor"/>
          </font>
        </dxf>
        <dxf>
          <font>
            <sz val="10"/>
            <color theme="5" tint="-0.24994659260841701"/>
            <name val="Calibri"/>
            <family val="2"/>
            <scheme val="minor"/>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Coffee Style Timeline">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Coffee_Style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 name="Timeline Style 1">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[coffeeOrdersData.xlsx]Sheet1!Total Sales</c:name>
    <c:fmtId val="33"/>
  </c:pivotSource>
  <c:chart>
    <c:title>
      <c:tx>
        <c:rich>
          <a:bodyPr rot="0" spcFirstLastPara="1" vertOverflow="ellipsis" vert="horz" wrap="square" anchor="ctr" anchorCtr="1"/>
          <a:lstStyle/>
          <a:p>
            <a:pPr>
              <a:defRPr sz="1400" b="0" i="0" u="none" strike="noStrike" kern="1200" spc="0" baseline="0">
                <a:solidFill>
                  <a:srgbClr val="4B2E2B"/>
                </a:solidFill>
                <a:latin typeface="+mn-lt"/>
                <a:ea typeface="+mn-ea"/>
                <a:cs typeface="+mn-cs"/>
              </a:defRPr>
            </a:pPr>
            <a:r>
              <a:rPr lang="en-IN"/>
              <a:t>Total</a:t>
            </a:r>
            <a:r>
              <a:rPr lang="en-IN" baseline="0"/>
              <a:t>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B2E2B"/>
              </a:solidFill>
              <a:latin typeface="+mn-lt"/>
              <a:ea typeface="+mn-ea"/>
              <a:cs typeface="+mn-cs"/>
            </a:defRPr>
          </a:pPr>
          <a:endParaRPr lang="en-US"/>
        </a:p>
      </c:txPr>
    </c:title>
    <c:autoTitleDeleted val="0"/>
    <c:pivotFmts>
      <c:pivotFmt>
        <c:idx val="0"/>
        <c:spPr>
          <a:solidFill>
            <a:schemeClr val="accent2"/>
          </a:solidFill>
          <a:ln w="28575" cap="rnd">
            <a:solidFill>
              <a:srgbClr val="11111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rgbClr val="E6A817"/>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rgbClr val="52729C"/>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rgbClr val="C4453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rgbClr val="52729C"/>
            </a:solidFill>
            <a:round/>
          </a:ln>
          <a:effectLst/>
        </c:spPr>
        <c:marker>
          <c:symbol val="none"/>
        </c:marker>
      </c:pivotFmt>
      <c:pivotFmt>
        <c:idx val="5"/>
        <c:spPr>
          <a:solidFill>
            <a:schemeClr val="accent2"/>
          </a:solidFill>
          <a:ln w="28575" cap="rnd">
            <a:solidFill>
              <a:srgbClr val="52729C"/>
            </a:solidFill>
            <a:round/>
          </a:ln>
          <a:effectLst/>
        </c:spPr>
        <c:marker>
          <c:symbol val="none"/>
        </c:marker>
      </c:pivotFmt>
      <c:pivotFmt>
        <c:idx val="6"/>
        <c:spPr>
          <a:solidFill>
            <a:schemeClr val="accent2"/>
          </a:solidFill>
          <a:ln w="28575" cap="rnd">
            <a:solidFill>
              <a:srgbClr val="52729C"/>
            </a:solidFill>
            <a:round/>
          </a:ln>
          <a:effectLst/>
        </c:spPr>
        <c:marker>
          <c:symbol val="none"/>
        </c:marker>
      </c:pivotFmt>
      <c:pivotFmt>
        <c:idx val="7"/>
        <c:spPr>
          <a:solidFill>
            <a:schemeClr val="accent2"/>
          </a:solidFill>
          <a:ln w="28575" cap="rnd">
            <a:solidFill>
              <a:srgbClr val="52729C"/>
            </a:solidFill>
            <a:round/>
          </a:ln>
          <a:effectLst/>
        </c:spPr>
        <c:marker>
          <c:symbol val="none"/>
        </c:marker>
      </c:pivotFmt>
      <c:pivotFmt>
        <c:idx val="8"/>
        <c:spPr>
          <a:solidFill>
            <a:schemeClr val="accent2"/>
          </a:solidFill>
          <a:ln w="28575" cap="rnd">
            <a:solidFill>
              <a:srgbClr val="11111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B2E2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rgbClr val="E6A81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B2E2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a:solidFill>
              <a:srgbClr val="52729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B2E2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rgbClr val="C4453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B2E2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11111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B2E2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E6A81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B2E2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52729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B2E2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C4453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B2E2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4707488114491E-2"/>
          <c:y val="8.8827533232338315E-2"/>
          <c:w val="0.76721328125483335"/>
          <c:h val="0.77744035399359657"/>
        </c:manualLayout>
      </c:layout>
      <c:lineChart>
        <c:grouping val="standard"/>
        <c:varyColors val="0"/>
        <c:ser>
          <c:idx val="0"/>
          <c:order val="0"/>
          <c:tx>
            <c:strRef>
              <c:f>Sheet1!$C$3:$C$4</c:f>
              <c:strCache>
                <c:ptCount val="1"/>
                <c:pt idx="0">
                  <c:v>Arabica</c:v>
                </c:pt>
              </c:strCache>
            </c:strRef>
          </c:tx>
          <c:spPr>
            <a:ln w="28575" cap="rnd">
              <a:solidFill>
                <a:srgbClr val="111111"/>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AEE-4CF8-9F23-226420AC5276}"/>
            </c:ext>
          </c:extLst>
        </c:ser>
        <c:ser>
          <c:idx val="1"/>
          <c:order val="1"/>
          <c:tx>
            <c:strRef>
              <c:f>Sheet1!$D$3:$D$4</c:f>
              <c:strCache>
                <c:ptCount val="1"/>
                <c:pt idx="0">
                  <c:v>Excelsa</c:v>
                </c:pt>
              </c:strCache>
            </c:strRef>
          </c:tx>
          <c:spPr>
            <a:ln w="28575" cap="rnd">
              <a:solidFill>
                <a:srgbClr val="E6A817"/>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AEE-4CF8-9F23-226420AC5276}"/>
            </c:ext>
          </c:extLst>
        </c:ser>
        <c:ser>
          <c:idx val="2"/>
          <c:order val="2"/>
          <c:tx>
            <c:strRef>
              <c:f>Sheet1!$E$3:$E$4</c:f>
              <c:strCache>
                <c:ptCount val="1"/>
                <c:pt idx="0">
                  <c:v>Liberica</c:v>
                </c:pt>
              </c:strCache>
            </c:strRef>
          </c:tx>
          <c:spPr>
            <a:ln w="28575" cap="rnd">
              <a:solidFill>
                <a:srgbClr val="52729C"/>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0AEE-4CF8-9F23-226420AC5276}"/>
            </c:ext>
          </c:extLst>
        </c:ser>
        <c:ser>
          <c:idx val="3"/>
          <c:order val="3"/>
          <c:tx>
            <c:strRef>
              <c:f>Sheet1!$F$3:$F$4</c:f>
              <c:strCache>
                <c:ptCount val="1"/>
                <c:pt idx="0">
                  <c:v>Robusta</c:v>
                </c:pt>
              </c:strCache>
            </c:strRef>
          </c:tx>
          <c:spPr>
            <a:ln w="28575" cap="rnd">
              <a:solidFill>
                <a:srgbClr val="C44536"/>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0AEE-4CF8-9F23-226420AC5276}"/>
            </c:ext>
          </c:extLst>
        </c:ser>
        <c:dLbls>
          <c:showLegendKey val="0"/>
          <c:showVal val="0"/>
          <c:showCatName val="0"/>
          <c:showSerName val="0"/>
          <c:showPercent val="0"/>
          <c:showBubbleSize val="0"/>
        </c:dLbls>
        <c:smooth val="0"/>
        <c:axId val="939305759"/>
        <c:axId val="939304799"/>
      </c:lineChart>
      <c:catAx>
        <c:axId val="93930575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crossAx val="939304799"/>
        <c:crosses val="autoZero"/>
        <c:auto val="1"/>
        <c:lblAlgn val="ctr"/>
        <c:lblOffset val="100"/>
        <c:noMultiLvlLbl val="0"/>
      </c:catAx>
      <c:valAx>
        <c:axId val="939304799"/>
        <c:scaling>
          <c:orientation val="minMax"/>
        </c:scaling>
        <c:delete val="0"/>
        <c:axPos val="l"/>
        <c:majorGridlines>
          <c:spPr>
            <a:ln w="9525" cap="flat" cmpd="sng" algn="ctr">
              <a:solidFill>
                <a:schemeClr val="bg1">
                  <a:lumMod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4B2E2B"/>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4B2E2B"/>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crossAx val="939305759"/>
        <c:crosses val="autoZero"/>
        <c:crossBetween val="between"/>
      </c:valAx>
      <c:spPr>
        <a:solidFill>
          <a:srgbClr val="FEFCFA"/>
        </a:solidFill>
        <a:ln>
          <a:noFill/>
        </a:ln>
        <a:effectLst/>
      </c:spPr>
    </c:plotArea>
    <c:legend>
      <c:legendPos val="r"/>
      <c:layout>
        <c:manualLayout>
          <c:xMode val="edge"/>
          <c:yMode val="edge"/>
          <c:x val="0.86017106910782226"/>
          <c:y val="0.35474282903877785"/>
          <c:w val="0.11405163973775724"/>
          <c:h val="0.355853174107546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EFCFA"/>
    </a:solidFill>
    <a:ln w="9525" cap="flat" cmpd="sng" algn="ctr">
      <a:solidFill>
        <a:schemeClr val="tx1">
          <a:lumMod val="15000"/>
          <a:lumOff val="85000"/>
        </a:schemeClr>
      </a:solidFill>
      <a:round/>
    </a:ln>
    <a:effectLst/>
  </c:spPr>
  <c:txPr>
    <a:bodyPr/>
    <a:lstStyle/>
    <a:p>
      <a:pPr>
        <a:defRPr>
          <a:solidFill>
            <a:srgbClr val="4B2E2B"/>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[coffeeOrdersData.xlsx]CountryChart!Total Sales</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CountryChart!$B$3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CountryChart!$A$4:$A$6</c:f>
              <c:strCache>
                <c:ptCount val="3"/>
                <c:pt idx="0">
                  <c:v>United Kingdom</c:v>
                </c:pt>
                <c:pt idx="1">
                  <c:v>Ireland</c:v>
                </c:pt>
                <c:pt idx="2">
                  <c:v>United States</c:v>
                </c:pt>
              </c:strCache>
            </c:strRef>
          </c:cat>
          <c:val>
            <c:numRef>
              <c:f>CountryChart!$B$4:$B$6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E8C5-4973-B926-24079E20071D}"/>
            </c:ext>
          </c:extLst>
        </c:ser>
        <c:dLbls>
          <c:dLblPos val="outEnd"/>
          <c:showLegendKey val="0"/>
          <c:showVal val="1"/>
          <c:showCatName val="0"/>
          <c:showSerName val="0"/>
          <c:showPercent val="0"/>
          <c:showBubbleSize val="0"/>
        </c:dLbls>
        <c:gapWidth val="182"/>
        <c:axId val="944785615"/>
        <c:axId val="944785135"/>
      </c:barChart>
      <c:catAx>
        <c:axId val="944785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785135"/>
        <c:crosses val="autoZero"/>
        <c:auto val="1"/>
        <c:lblAlgn val="ctr"/>
        <c:lblOffset val="100"/>
        <c:noMultiLvlLbl val="0"/>
      </c:catAx>
      <c:valAx>
        <c:axId val="944785135"/>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78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EF8F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 Sales</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7F67-4A4D-869A-5CF631E26392}"/>
            </c:ext>
          </c:extLst>
        </c:ser>
        <c:dLbls>
          <c:dLblPos val="outEnd"/>
          <c:showLegendKey val="0"/>
          <c:showVal val="1"/>
          <c:showCatName val="0"/>
          <c:showSerName val="0"/>
          <c:showPercent val="0"/>
          <c:showBubbleSize val="0"/>
        </c:dLbls>
        <c:gapWidth val="182"/>
        <c:axId val="944785615"/>
        <c:axId val="944785135"/>
      </c:barChart>
      <c:catAx>
        <c:axId val="944785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785135"/>
        <c:crosses val="autoZero"/>
        <c:auto val="1"/>
        <c:lblAlgn val="ctr"/>
        <c:lblOffset val="100"/>
        <c:noMultiLvlLbl val="0"/>
      </c:catAx>
      <c:valAx>
        <c:axId val="944785135"/>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78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EF8F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121920</xdr:colOff>
      <xdr:row>4</xdr:row>
      <xdr:rowOff>129540</xdr:rowOff>
    </xdr:from>
    <xdr:ext cx="184731" cy="264560"/>
    <xdr:sp macro="" textlink="">
      <xdr:nvSpPr>
        <xdr:cNvPr id="2" name="TextBox 1">
          <a:extLst>
            <a:ext uri="{FF2B5EF4-FFF2-40B4-BE49-F238E27FC236}">
              <a16:creationId xmlns:a16="http://schemas.microsoft.com/office/drawing/2014/main" id="{88806F8D-0CC6-8E92-D3E8-0E5CED3C7A42}"/>
            </a:ext>
          </a:extLst>
        </xdr:cNvPr>
        <xdr:cNvSpPr txBox="1"/>
      </xdr:nvSpPr>
      <xdr:spPr>
        <a:xfrm>
          <a:off x="3901440" y="739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0</xdr:colOff>
      <xdr:row>1</xdr:row>
      <xdr:rowOff>0</xdr:rowOff>
    </xdr:from>
    <xdr:to>
      <xdr:col>25</xdr:col>
      <xdr:colOff>601014</xdr:colOff>
      <xdr:row>4</xdr:row>
      <xdr:rowOff>0</xdr:rowOff>
    </xdr:to>
    <xdr:sp macro="" textlink="">
      <xdr:nvSpPr>
        <xdr:cNvPr id="4" name="Rectangle 3">
          <a:extLst>
            <a:ext uri="{FF2B5EF4-FFF2-40B4-BE49-F238E27FC236}">
              <a16:creationId xmlns:a16="http://schemas.microsoft.com/office/drawing/2014/main" id="{790109A7-FBA4-02DB-C3C4-FCC72B806DA1}"/>
            </a:ext>
          </a:extLst>
        </xdr:cNvPr>
        <xdr:cNvSpPr/>
      </xdr:nvSpPr>
      <xdr:spPr>
        <a:xfrm>
          <a:off x="729803" y="64394"/>
          <a:ext cx="14671183" cy="547352"/>
        </a:xfrm>
        <a:prstGeom prst="rect">
          <a:avLst/>
        </a:prstGeom>
        <a:solidFill>
          <a:srgbClr val="632D0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Coffee</a:t>
          </a:r>
          <a:r>
            <a:rPr lang="en-IN" sz="2800" baseline="0"/>
            <a:t> Sales Dashboard</a:t>
          </a:r>
          <a:endParaRPr lang="en-IN" sz="2800"/>
        </a:p>
      </xdr:txBody>
    </xdr:sp>
    <xdr:clientData/>
  </xdr:twoCellAnchor>
  <xdr:twoCellAnchor>
    <xdr:from>
      <xdr:col>1</xdr:col>
      <xdr:colOff>609447</xdr:colOff>
      <xdr:row>14</xdr:row>
      <xdr:rowOff>72504</xdr:rowOff>
    </xdr:from>
    <xdr:to>
      <xdr:col>15</xdr:col>
      <xdr:colOff>532571</xdr:colOff>
      <xdr:row>38</xdr:row>
      <xdr:rowOff>89794</xdr:rowOff>
    </xdr:to>
    <xdr:graphicFrame macro="">
      <xdr:nvGraphicFramePr>
        <xdr:cNvPr id="5" name="Chart 4">
          <a:extLst>
            <a:ext uri="{FF2B5EF4-FFF2-40B4-BE49-F238E27FC236}">
              <a16:creationId xmlns:a16="http://schemas.microsoft.com/office/drawing/2014/main" id="{5BB28961-B537-4146-A51C-542783813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605931</xdr:colOff>
      <xdr:row>4</xdr:row>
      <xdr:rowOff>88037</xdr:rowOff>
    </xdr:from>
    <xdr:to>
      <xdr:col>18</xdr:col>
      <xdr:colOff>274246</xdr:colOff>
      <xdr:row>13</xdr:row>
      <xdr:rowOff>140805</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3544F6B3-B481-4255-B107-35208C0DE0F3}"/>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728552" y="701140"/>
              <a:ext cx="10091073" cy="170814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232943</xdr:colOff>
      <xdr:row>8</xdr:row>
      <xdr:rowOff>165488</xdr:rowOff>
    </xdr:from>
    <xdr:to>
      <xdr:col>26</xdr:col>
      <xdr:colOff>4606</xdr:colOff>
      <xdr:row>13</xdr:row>
      <xdr:rowOff>153948</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F9C947E2-4988-4C29-80A5-2C455A9F4D0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3230736" y="1514316"/>
              <a:ext cx="2224077" cy="908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368172</xdr:colOff>
      <xdr:row>4</xdr:row>
      <xdr:rowOff>85778</xdr:rowOff>
    </xdr:from>
    <xdr:to>
      <xdr:col>26</xdr:col>
      <xdr:colOff>14</xdr:colOff>
      <xdr:row>8</xdr:row>
      <xdr:rowOff>123693</xdr:rowOff>
    </xdr:to>
    <mc:AlternateContent xmlns:mc="http://schemas.openxmlformats.org/markup-compatibility/2006">
      <mc:Choice xmlns:a14="http://schemas.microsoft.com/office/drawing/2010/main" Requires="a14">
        <xdr:graphicFrame macro="">
          <xdr:nvGraphicFramePr>
            <xdr:cNvPr id="8" name="Roast Type Name">
              <a:extLst>
                <a:ext uri="{FF2B5EF4-FFF2-40B4-BE49-F238E27FC236}">
                  <a16:creationId xmlns:a16="http://schemas.microsoft.com/office/drawing/2014/main" id="{F3914049-F8CD-4ABC-9D3E-9BC9569D5AF3}"/>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913551" y="698881"/>
              <a:ext cx="4536670" cy="773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371637</xdr:colOff>
      <xdr:row>8</xdr:row>
      <xdr:rowOff>162833</xdr:rowOff>
    </xdr:from>
    <xdr:to>
      <xdr:col>22</xdr:col>
      <xdr:colOff>193461</xdr:colOff>
      <xdr:row>13</xdr:row>
      <xdr:rowOff>149087</xdr:rowOff>
    </xdr:to>
    <mc:AlternateContent xmlns:mc="http://schemas.openxmlformats.org/markup-compatibility/2006">
      <mc:Choice xmlns:a14="http://schemas.microsoft.com/office/drawing/2010/main" Requires="a14">
        <xdr:graphicFrame macro="">
          <xdr:nvGraphicFramePr>
            <xdr:cNvPr id="9" name="Loyalty Card">
              <a:extLst>
                <a:ext uri="{FF2B5EF4-FFF2-40B4-BE49-F238E27FC236}">
                  <a16:creationId xmlns:a16="http://schemas.microsoft.com/office/drawing/2014/main" id="{BD61FD65-9A39-4503-B257-12303993957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0917016" y="1511661"/>
              <a:ext cx="2274238" cy="905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11549</xdr:colOff>
      <xdr:row>14</xdr:row>
      <xdr:rowOff>78491</xdr:rowOff>
    </xdr:from>
    <xdr:to>
      <xdr:col>25</xdr:col>
      <xdr:colOff>611824</xdr:colOff>
      <xdr:row>25</xdr:row>
      <xdr:rowOff>167641</xdr:rowOff>
    </xdr:to>
    <xdr:graphicFrame macro="">
      <xdr:nvGraphicFramePr>
        <xdr:cNvPr id="10" name="Chart 9">
          <a:extLst>
            <a:ext uri="{FF2B5EF4-FFF2-40B4-BE49-F238E27FC236}">
              <a16:creationId xmlns:a16="http://schemas.microsoft.com/office/drawing/2014/main" id="{864E410F-AEDD-4800-B6E6-0CC5A819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5078</xdr:colOff>
      <xdr:row>26</xdr:row>
      <xdr:rowOff>72306</xdr:rowOff>
    </xdr:from>
    <xdr:to>
      <xdr:col>25</xdr:col>
      <xdr:colOff>606262</xdr:colOff>
      <xdr:row>38</xdr:row>
      <xdr:rowOff>88993</xdr:rowOff>
    </xdr:to>
    <xdr:graphicFrame macro="">
      <xdr:nvGraphicFramePr>
        <xdr:cNvPr id="11" name="Chart 10">
          <a:extLst>
            <a:ext uri="{FF2B5EF4-FFF2-40B4-BE49-F238E27FC236}">
              <a16:creationId xmlns:a16="http://schemas.microsoft.com/office/drawing/2014/main" id="{C22F045B-902A-4F38-9BE6-D6ED0A98E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6.845865393516" createdVersion="8" refreshedVersion="8" minRefreshableVersion="3" recordCount="1000" xr:uid="{46CEEB0E-0BD8-477F-B025-CB810EB5F901}">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8323027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394E48-5726-4F57-BE7C-3022C43A55C0}" name="Total Sales" cacheId="5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4">
  <location ref="A3:F48" firstHeaderRow="1" firstDataRow="2" firstDataCol="2"/>
  <pivotFields count="18">
    <pivotField compact="0" outline="0" subtotalTop="0" showAll="0" defaultSubtotal="0"/>
    <pivotField compact="0" numFmtId="166"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67" outline="0" subtotalTop="0" showAll="0" defaultSubtotal="0">
      <items count="4">
        <item x="3"/>
        <item x="1"/>
        <item x="0"/>
        <item x="2"/>
      </items>
    </pivotField>
    <pivotField compact="0" numFmtId="169" outline="0" subtotalTop="0" showAll="0" defaultSubtotal="0"/>
    <pivotField dataField="1" compact="0" numFmtId="169" outline="0" subtotalTop="0" showAll="0" defaultSubtotal="0"/>
    <pivotField axis="axisCol"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71"/>
  </dataFields>
  <chartFormats count="4">
    <chartFormat chart="33" format="12" series="1">
      <pivotArea type="data" outline="0" fieldPosition="0">
        <references count="2">
          <reference field="4294967294" count="1" selected="0">
            <x v="0"/>
          </reference>
          <reference field="13" count="1" selected="0">
            <x v="0"/>
          </reference>
        </references>
      </pivotArea>
    </chartFormat>
    <chartFormat chart="33" format="13" series="1">
      <pivotArea type="data" outline="0" fieldPosition="0">
        <references count="2">
          <reference field="4294967294" count="1" selected="0">
            <x v="0"/>
          </reference>
          <reference field="13" count="1" selected="0">
            <x v="1"/>
          </reference>
        </references>
      </pivotArea>
    </chartFormat>
    <chartFormat chart="33" format="14" series="1">
      <pivotArea type="data" outline="0" fieldPosition="0">
        <references count="2">
          <reference field="4294967294" count="1" selected="0">
            <x v="0"/>
          </reference>
          <reference field="13" count="1" selected="0">
            <x v="2"/>
          </reference>
        </references>
      </pivotArea>
    </chartFormat>
    <chartFormat chart="33" format="15"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5FA8D3-9D09-429D-8ACA-171F3C31C398}" name="Total Sales" cacheId="5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5">
  <location ref="A3:B6" firstHeaderRow="1" firstDataRow="1" firstDataCol="1"/>
  <pivotFields count="18">
    <pivotField compact="0" outline="0" subtotalTop="0" showAll="0" defaultSubtotal="0"/>
    <pivotField compact="0" numFmtId="166"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7" outline="0" subtotalTop="0" showAll="0" defaultSubtotal="0">
      <items count="4">
        <item x="3"/>
        <item x="1"/>
        <item x="0"/>
        <item x="2"/>
      </items>
    </pivotField>
    <pivotField compact="0" numFmtId="169" outline="0" subtotalTop="0" showAll="0" defaultSubtotal="0"/>
    <pivotField dataField="1" compact="0" numFmtId="169" outline="0" subtotalTop="0" showAll="0" defaultSubtotal="0"/>
    <pivotField compact="0" outline="0" subtotalTop="0" showAll="0" defaultSubtotal="0"/>
    <pivotField compact="0" outline="0" subtotalTop="0" showAll="0" defaultSubtotal="0">
      <items count="3">
        <item x="2"/>
        <item x="1"/>
        <item x="0"/>
      </items>
    </pivotField>
    <pivotField compact="0" outline="0" subtotalTop="0" showAll="0" defaultSubtotal="0">
      <items count="2">
        <item x="1"/>
        <item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72"/>
  </dataFields>
  <chartFormats count="1">
    <chartFormat chart="4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1DA714-A526-46C2-A9F5-2318987A5C00}" name="Total Sales" cacheId="5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5">
  <location ref="A3:B8" firstHeaderRow="1" firstDataRow="1" firstDataCol="1"/>
  <pivotFields count="18">
    <pivotField compact="0" outline="0" subtotalTop="0" showAll="0" defaultSubtotal="0"/>
    <pivotField compact="0" numFmtId="166"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axis="axisRow" compact="0" outline="0" subtotalTop="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sortType="ascending" defaultSubtotal="0">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7" outline="0" subtotalTop="0" showAll="0" defaultSubtotal="0">
      <items count="4">
        <item x="3"/>
        <item x="1"/>
        <item x="0"/>
        <item x="2"/>
      </items>
    </pivotField>
    <pivotField compact="0" numFmtId="169" outline="0" subtotalTop="0" showAll="0" defaultSubtotal="0"/>
    <pivotField dataField="1" compact="0" numFmtId="169" outline="0" subtotalTop="0" showAll="0" defaultSubtotal="0"/>
    <pivotField compact="0" outline="0" subtotalTop="0" showAll="0" defaultSubtotal="0"/>
    <pivotField compact="0" outline="0" subtotalTop="0" showAll="0" defaultSubtotal="0">
      <items count="3">
        <item x="2"/>
        <item x="1"/>
        <item x="0"/>
      </items>
    </pivotField>
    <pivotField compact="0" outline="0" subtotalTop="0" showAll="0" defaultSubtotal="0">
      <items count="2">
        <item x="1"/>
        <item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72"/>
  </dataFields>
  <chartFormats count="2">
    <chartFormat chart="34" format="0" series="1">
      <pivotArea type="data" outline="0" fieldPosition="0">
        <references count="1">
          <reference field="4294967294" count="1" selected="0">
            <x v="0"/>
          </reference>
        </references>
      </pivotArea>
    </chartFormat>
    <chartFormat chart="44"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AEAD86F-53C6-4349-B485-4AC25D0DDE7A}" sourceName="Size">
  <pivotTables>
    <pivotTable tabId="18" name="Total Sales"/>
    <pivotTable tabId="19" name="Total Sales"/>
    <pivotTable tabId="22" name="Total Sales"/>
  </pivotTables>
  <data>
    <tabular pivotCacheId="83230279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BCFBA35-F723-4CD8-91DE-8F2B6B340D1F}" sourceName="Roast Type Name">
  <pivotTables>
    <pivotTable tabId="18" name="Total Sales"/>
    <pivotTable tabId="19" name="Total Sales"/>
    <pivotTable tabId="22" name="Total Sales"/>
  </pivotTables>
  <data>
    <tabular pivotCacheId="83230279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6F21653-288E-4D5A-836E-2140ACA95599}" sourceName="Loyalty Card">
  <pivotTables>
    <pivotTable tabId="18" name="Total Sales"/>
    <pivotTable tabId="19" name="Total Sales"/>
    <pivotTable tabId="22" name="Total Sales"/>
  </pivotTables>
  <data>
    <tabular pivotCacheId="83230279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93BE142-F3EF-441C-A772-6B1B997E1E42}" cache="Slicer_Size" caption="Size" columnCount="2" style="Coffee Slicer" rowHeight="234950"/>
  <slicer name="Roast Type Name" xr10:uid="{80CA223D-2873-4780-8D53-B93C89EB93A8}" cache="Slicer_Roast_Type_Name" caption="Roast Type Name" columnCount="3" style="Coffee Slicer" rowHeight="234950"/>
  <slicer name="Loyalty Card" xr10:uid="{6AB7812E-6D79-4895-A5EB-71D9901C6530}" cache="Slicer_Loyalty_Card" caption="Loyalty Card" style="Coffe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B1167D-BE9A-413A-A683-329900BC5754}" name="Orders" displayName="Orders" ref="A1:P1001" totalsRowShown="0" headerRowDxfId="10">
  <autoFilter ref="A1:P1001" xr:uid="{9BB1167D-BE9A-413A-A683-329900BC5754}"/>
  <tableColumns count="16">
    <tableColumn id="1" xr3:uid="{A6B479FC-B953-4D6A-A8E5-CA651E176F7F}" name="Order ID" dataDxfId="20"/>
    <tableColumn id="2" xr3:uid="{3B4E61BC-ADD4-4B32-9189-313CDC096428}" name="Order Date" dataDxfId="19"/>
    <tableColumn id="3" xr3:uid="{79C15C35-E754-4D33-999C-59A1C01F4076}" name="Customer ID" dataDxfId="18"/>
    <tableColumn id="4" xr3:uid="{6AB22E40-6BCB-4B4F-955F-5A003303498E}" name="Product ID"/>
    <tableColumn id="5" xr3:uid="{8D070359-98B4-4380-8C04-E50705943313}" name="Quantity" dataDxfId="17"/>
    <tableColumn id="6" xr3:uid="{3EEB4C33-D9C5-40D9-BA60-CFD906CF216B}" name="Customer Name" dataDxfId="16">
      <calculatedColumnFormula>_xlfn.XLOOKUP(C2,customers!$A$2:$A$1001,customers!$B$2:$B$1001,,0)</calculatedColumnFormula>
    </tableColumn>
    <tableColumn id="7" xr3:uid="{FCB1D73F-8D4E-4343-9EF5-CDA88CD30046}" name="Email" dataDxfId="15">
      <calculatedColumnFormula>IF(_xlfn.XLOOKUP(C2,customers!$A$1:$A$1001,customers!$C$1:$C$1001,,0)=0,"",_xlfn.XLOOKUP(C2,customers!$A$1:$A$1001,customers!$C$1:$C$1001,,0))</calculatedColumnFormula>
    </tableColumn>
    <tableColumn id="8" xr3:uid="{BAE8D6DC-F8F5-4B60-96B8-B16B5EA8E482}" name="Country" dataDxfId="14">
      <calculatedColumnFormula>_xlfn.XLOOKUP(C2,customers!$A$1:$A$1001,customers!$G$1:$G$1001,,0)</calculatedColumnFormula>
    </tableColumn>
    <tableColumn id="9" xr3:uid="{EBA66E08-3C61-408F-8E82-D21C31BEF83E}" name="Coffee Type">
      <calculatedColumnFormula>INDEX(products!$A$1:$G$49, MATCH(orders!$D2, products!$A$1:$A$49, 0), MATCH(orders!I$1, products!$A$1:$G$1, 0))</calculatedColumnFormula>
    </tableColumn>
    <tableColumn id="10" xr3:uid="{CAE727B4-22AB-4F01-8AF3-E20D1742CF61}" name="Roast Type">
      <calculatedColumnFormula>INDEX(products!$A$1:$G$49, MATCH(orders!$D2, products!$A$1:$A$49, 0), MATCH(orders!J$1, products!$A$1:$G$1, 0))</calculatedColumnFormula>
    </tableColumn>
    <tableColumn id="11" xr3:uid="{9143E3EF-05FF-49B0-ABF6-234A1655199B}" name="Size" dataDxfId="13">
      <calculatedColumnFormula>INDEX(products!$A$1:$G$49, MATCH(orders!$D2, products!$A$1:$A$49, 0), MATCH(orders!K$1, products!$A$1:$G$1, 0))</calculatedColumnFormula>
    </tableColumn>
    <tableColumn id="12" xr3:uid="{11E275FC-5424-4245-A5E9-0133206CA35E}" name="Unit Price" dataDxfId="12" dataCellStyle="Currency">
      <calculatedColumnFormula>INDEX(products!$A$1:$G$49, MATCH(orders!$D2, products!$A$1:$A$49, 0), MATCH(orders!L$1, products!$A$1:$G$1, 0))</calculatedColumnFormula>
    </tableColumn>
    <tableColumn id="13" xr3:uid="{1F85A4C2-1AB5-4335-AD5C-2C92E91F71A6}" name="Sales" dataDxfId="11" dataCellStyle="Currency">
      <calculatedColumnFormula>L2*E2</calculatedColumnFormula>
    </tableColumn>
    <tableColumn id="14" xr3:uid="{09257394-4BF2-4967-AF24-F17669EEDF41}" name="Coffee Type Name">
      <calculatedColumnFormula>IF(I2="Rob","Robusta",IF(I2="Exc","Excelsa",IF(I2="Ara","Arabica",IF(I2="lib","Liberica",""))))</calculatedColumnFormula>
    </tableColumn>
    <tableColumn id="15" xr3:uid="{701E55D3-407E-4A75-9C31-F5A680056D14}" name="Roast Type Name" dataDxfId="0">
      <calculatedColumnFormula>IF(J2="M","Medium",IF(J2="l","Light",IF(J2="d","Dark","")))</calculatedColumnFormula>
    </tableColumn>
    <tableColumn id="16" xr3:uid="{7308A0F7-BFE2-4B37-9BA8-57FE7A3A27A2}" name="Loyalty Card" dataDxfId="3">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0560AB9-B7DE-4B75-A4BA-35F0F5F0E70D}" sourceName="Order Date">
  <pivotTables>
    <pivotTable tabId="18" name="Total Sales"/>
    <pivotTable tabId="19" name="Total Sales"/>
    <pivotTable tabId="22" name="Total Sales"/>
  </pivotTables>
  <state minimalRefreshVersion="6" lastRefreshVersion="6" pivotCacheId="83230279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2FF2596-9F96-4F45-BEE4-11D9E7776522}" cache="NativeTimeline_Order_Date" caption="Order Date" level="2" selectionLevel="2" scrollPosition="2019-01-01T00:00:00" style="Coffee_Style Timelin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952D2-D3D3-4792-917D-29EBF5ADF601}">
  <dimension ref="C1:C23"/>
  <sheetViews>
    <sheetView showGridLines="0" showRowColHeaders="0" tabSelected="1" zoomScale="87" workbookViewId="0">
      <selection activeCell="B13" sqref="B13"/>
    </sheetView>
  </sheetViews>
  <sheetFormatPr defaultRowHeight="14.4" x14ac:dyDescent="0.3"/>
  <cols>
    <col min="1" max="1" width="1.77734375" customWidth="1"/>
  </cols>
  <sheetData>
    <row r="1" ht="4.95" customHeight="1" x14ac:dyDescent="0.3"/>
    <row r="23" spans="3:3" x14ac:dyDescent="0.3">
      <c r="C23" s="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0CAED-0D93-449C-BDE9-551A6B2FA639}">
  <dimension ref="A3:F48"/>
  <sheetViews>
    <sheetView topLeftCell="A7" zoomScale="70" zoomScaleNormal="70" workbookViewId="0">
      <selection activeCell="M10" sqref="M10"/>
    </sheetView>
  </sheetViews>
  <sheetFormatPr defaultRowHeight="14.4" x14ac:dyDescent="0.3"/>
  <cols>
    <col min="1" max="1" width="12.5546875" bestFit="1" customWidth="1"/>
    <col min="2" max="2" width="22.77734375" bestFit="1" customWidth="1"/>
    <col min="3" max="3" width="20.44140625" bestFit="1" customWidth="1"/>
    <col min="4" max="4" width="7.109375" bestFit="1" customWidth="1"/>
    <col min="5" max="5" width="7.77734375" bestFit="1" customWidth="1"/>
    <col min="6" max="6" width="8" bestFit="1" customWidth="1"/>
  </cols>
  <sheetData>
    <row r="3" spans="1:6" x14ac:dyDescent="0.3">
      <c r="A3" s="8" t="s">
        <v>6220</v>
      </c>
      <c r="C3" s="8" t="s">
        <v>6196</v>
      </c>
    </row>
    <row r="4" spans="1:6" x14ac:dyDescent="0.3">
      <c r="A4" s="8" t="s">
        <v>6214</v>
      </c>
      <c r="B4" s="8" t="s">
        <v>6215</v>
      </c>
      <c r="C4" t="s">
        <v>6216</v>
      </c>
      <c r="D4" t="s">
        <v>6217</v>
      </c>
      <c r="E4" t="s">
        <v>6218</v>
      </c>
      <c r="F4" t="s">
        <v>6219</v>
      </c>
    </row>
    <row r="5" spans="1:6" x14ac:dyDescent="0.3">
      <c r="A5" t="s">
        <v>6198</v>
      </c>
      <c r="B5" t="s">
        <v>6202</v>
      </c>
      <c r="C5" s="9">
        <v>186.85499999999999</v>
      </c>
      <c r="D5" s="9">
        <v>305.97000000000003</v>
      </c>
      <c r="E5" s="9">
        <v>213.15999999999997</v>
      </c>
      <c r="F5" s="9">
        <v>123</v>
      </c>
    </row>
    <row r="6" spans="1:6" x14ac:dyDescent="0.3">
      <c r="B6" t="s">
        <v>6203</v>
      </c>
      <c r="C6" s="9">
        <v>251.96499999999997</v>
      </c>
      <c r="D6" s="9">
        <v>129.46</v>
      </c>
      <c r="E6" s="9">
        <v>434.03999999999996</v>
      </c>
      <c r="F6" s="9">
        <v>171.93999999999997</v>
      </c>
    </row>
    <row r="7" spans="1:6" x14ac:dyDescent="0.3">
      <c r="B7" t="s">
        <v>6204</v>
      </c>
      <c r="C7" s="9">
        <v>224.94499999999999</v>
      </c>
      <c r="D7" s="9">
        <v>349.12</v>
      </c>
      <c r="E7" s="9">
        <v>321.04000000000002</v>
      </c>
      <c r="F7" s="9">
        <v>126.035</v>
      </c>
    </row>
    <row r="8" spans="1:6" x14ac:dyDescent="0.3">
      <c r="B8" t="s">
        <v>6205</v>
      </c>
      <c r="C8" s="9">
        <v>307.12</v>
      </c>
      <c r="D8" s="9">
        <v>681.07499999999993</v>
      </c>
      <c r="E8" s="9">
        <v>533.70499999999993</v>
      </c>
      <c r="F8" s="9">
        <v>158.85</v>
      </c>
    </row>
    <row r="9" spans="1:6" x14ac:dyDescent="0.3">
      <c r="B9" t="s">
        <v>6206</v>
      </c>
      <c r="C9" s="9">
        <v>53.664999999999992</v>
      </c>
      <c r="D9" s="9">
        <v>83.025000000000006</v>
      </c>
      <c r="E9" s="9">
        <v>193.83499999999998</v>
      </c>
      <c r="F9" s="9">
        <v>68.039999999999992</v>
      </c>
    </row>
    <row r="10" spans="1:6" x14ac:dyDescent="0.3">
      <c r="B10" t="s">
        <v>6207</v>
      </c>
      <c r="C10" s="9">
        <v>163.01999999999998</v>
      </c>
      <c r="D10" s="9">
        <v>678.3599999999999</v>
      </c>
      <c r="E10" s="9">
        <v>171.04500000000002</v>
      </c>
      <c r="F10" s="9">
        <v>372.255</v>
      </c>
    </row>
    <row r="11" spans="1:6" x14ac:dyDescent="0.3">
      <c r="B11" t="s">
        <v>6208</v>
      </c>
      <c r="C11" s="9">
        <v>345.02</v>
      </c>
      <c r="D11" s="9">
        <v>273.86999999999995</v>
      </c>
      <c r="E11" s="9">
        <v>184.12999999999997</v>
      </c>
      <c r="F11" s="9">
        <v>201.11499999999998</v>
      </c>
    </row>
    <row r="12" spans="1:6" x14ac:dyDescent="0.3">
      <c r="B12" t="s">
        <v>6209</v>
      </c>
      <c r="C12" s="9">
        <v>334.89</v>
      </c>
      <c r="D12" s="9">
        <v>70.95</v>
      </c>
      <c r="E12" s="9">
        <v>134.23000000000002</v>
      </c>
      <c r="F12" s="9">
        <v>166.27499999999998</v>
      </c>
    </row>
    <row r="13" spans="1:6" x14ac:dyDescent="0.3">
      <c r="B13" t="s">
        <v>6210</v>
      </c>
      <c r="C13" s="9">
        <v>178.70999999999998</v>
      </c>
      <c r="D13" s="9">
        <v>166.1</v>
      </c>
      <c r="E13" s="9">
        <v>439.30999999999995</v>
      </c>
      <c r="F13" s="9">
        <v>492.9</v>
      </c>
    </row>
    <row r="14" spans="1:6" x14ac:dyDescent="0.3">
      <c r="B14" t="s">
        <v>6211</v>
      </c>
      <c r="C14" s="9">
        <v>301.98500000000001</v>
      </c>
      <c r="D14" s="9">
        <v>153.76499999999999</v>
      </c>
      <c r="E14" s="9">
        <v>215.55499999999998</v>
      </c>
      <c r="F14" s="9">
        <v>213.66499999999999</v>
      </c>
    </row>
    <row r="15" spans="1:6" x14ac:dyDescent="0.3">
      <c r="B15" t="s">
        <v>6212</v>
      </c>
      <c r="C15" s="9">
        <v>312.83499999999998</v>
      </c>
      <c r="D15" s="9">
        <v>63.249999999999993</v>
      </c>
      <c r="E15" s="9">
        <v>350.89500000000004</v>
      </c>
      <c r="F15" s="9">
        <v>96.405000000000001</v>
      </c>
    </row>
    <row r="16" spans="1:6" x14ac:dyDescent="0.3">
      <c r="B16" t="s">
        <v>6213</v>
      </c>
      <c r="C16" s="9">
        <v>265.62</v>
      </c>
      <c r="D16" s="9">
        <v>526.51499999999987</v>
      </c>
      <c r="E16" s="9">
        <v>187.06</v>
      </c>
      <c r="F16" s="9">
        <v>210.58999999999997</v>
      </c>
    </row>
    <row r="17" spans="1:6" x14ac:dyDescent="0.3">
      <c r="A17" t="s">
        <v>6199</v>
      </c>
      <c r="B17" t="s">
        <v>6202</v>
      </c>
      <c r="C17" s="9">
        <v>47.25</v>
      </c>
      <c r="D17" s="9">
        <v>65.805000000000007</v>
      </c>
      <c r="E17" s="9">
        <v>274.67500000000001</v>
      </c>
      <c r="F17" s="9">
        <v>179.22</v>
      </c>
    </row>
    <row r="18" spans="1:6" x14ac:dyDescent="0.3">
      <c r="B18" t="s">
        <v>6203</v>
      </c>
      <c r="C18" s="9">
        <v>745.44999999999993</v>
      </c>
      <c r="D18" s="9">
        <v>428.88499999999999</v>
      </c>
      <c r="E18" s="9">
        <v>194.17499999999998</v>
      </c>
      <c r="F18" s="9">
        <v>429.82999999999993</v>
      </c>
    </row>
    <row r="19" spans="1:6" x14ac:dyDescent="0.3">
      <c r="B19" t="s">
        <v>6204</v>
      </c>
      <c r="C19" s="9">
        <v>130.47</v>
      </c>
      <c r="D19" s="9">
        <v>271.48500000000001</v>
      </c>
      <c r="E19" s="9">
        <v>281.20499999999998</v>
      </c>
      <c r="F19" s="9">
        <v>231.63000000000002</v>
      </c>
    </row>
    <row r="20" spans="1:6" x14ac:dyDescent="0.3">
      <c r="B20" t="s">
        <v>6205</v>
      </c>
      <c r="C20" s="9">
        <v>27</v>
      </c>
      <c r="D20" s="9">
        <v>347.26</v>
      </c>
      <c r="E20" s="9">
        <v>147.51</v>
      </c>
      <c r="F20" s="9">
        <v>240.04</v>
      </c>
    </row>
    <row r="21" spans="1:6" x14ac:dyDescent="0.3">
      <c r="B21" t="s">
        <v>6206</v>
      </c>
      <c r="C21" s="9">
        <v>255.11499999999995</v>
      </c>
      <c r="D21" s="9">
        <v>541.73</v>
      </c>
      <c r="E21" s="9">
        <v>83.43</v>
      </c>
      <c r="F21" s="9">
        <v>59.079999999999991</v>
      </c>
    </row>
    <row r="22" spans="1:6" x14ac:dyDescent="0.3">
      <c r="B22" t="s">
        <v>6207</v>
      </c>
      <c r="C22" s="9">
        <v>584.78999999999985</v>
      </c>
      <c r="D22" s="9">
        <v>357.42999999999995</v>
      </c>
      <c r="E22" s="9">
        <v>355.34</v>
      </c>
      <c r="F22" s="9">
        <v>140.88</v>
      </c>
    </row>
    <row r="23" spans="1:6" x14ac:dyDescent="0.3">
      <c r="B23" t="s">
        <v>6208</v>
      </c>
      <c r="C23" s="9">
        <v>430.62</v>
      </c>
      <c r="D23" s="9">
        <v>227.42500000000001</v>
      </c>
      <c r="E23" s="9">
        <v>236.315</v>
      </c>
      <c r="F23" s="9">
        <v>414.58499999999992</v>
      </c>
    </row>
    <row r="24" spans="1:6" x14ac:dyDescent="0.3">
      <c r="B24" t="s">
        <v>6209</v>
      </c>
      <c r="C24" s="9">
        <v>22.5</v>
      </c>
      <c r="D24" s="9">
        <v>77.72</v>
      </c>
      <c r="E24" s="9">
        <v>60.5</v>
      </c>
      <c r="F24" s="9">
        <v>139.67999999999998</v>
      </c>
    </row>
    <row r="25" spans="1:6" x14ac:dyDescent="0.3">
      <c r="B25" t="s">
        <v>6210</v>
      </c>
      <c r="C25" s="9">
        <v>126.14999999999999</v>
      </c>
      <c r="D25" s="9">
        <v>195.11</v>
      </c>
      <c r="E25" s="9">
        <v>89.13</v>
      </c>
      <c r="F25" s="9">
        <v>302.65999999999997</v>
      </c>
    </row>
    <row r="26" spans="1:6" x14ac:dyDescent="0.3">
      <c r="B26" t="s">
        <v>6211</v>
      </c>
      <c r="C26" s="9">
        <v>376.03</v>
      </c>
      <c r="D26" s="9">
        <v>523.24</v>
      </c>
      <c r="E26" s="9">
        <v>440.96499999999997</v>
      </c>
      <c r="F26" s="9">
        <v>174.46999999999997</v>
      </c>
    </row>
    <row r="27" spans="1:6" x14ac:dyDescent="0.3">
      <c r="B27" t="s">
        <v>6212</v>
      </c>
      <c r="C27" s="9">
        <v>515.17999999999995</v>
      </c>
      <c r="D27" s="9">
        <v>142.56</v>
      </c>
      <c r="E27" s="9">
        <v>347.03999999999996</v>
      </c>
      <c r="F27" s="9">
        <v>104.08499999999999</v>
      </c>
    </row>
    <row r="28" spans="1:6" x14ac:dyDescent="0.3">
      <c r="B28" t="s">
        <v>6213</v>
      </c>
      <c r="C28" s="9">
        <v>95.859999999999985</v>
      </c>
      <c r="D28" s="9">
        <v>484.76</v>
      </c>
      <c r="E28" s="9">
        <v>94.17</v>
      </c>
      <c r="F28" s="9">
        <v>77.10499999999999</v>
      </c>
    </row>
    <row r="29" spans="1:6" x14ac:dyDescent="0.3">
      <c r="A29" t="s">
        <v>6200</v>
      </c>
      <c r="B29" t="s">
        <v>6202</v>
      </c>
      <c r="C29" s="9">
        <v>258.34500000000003</v>
      </c>
      <c r="D29" s="9">
        <v>139.625</v>
      </c>
      <c r="E29" s="9">
        <v>279.52000000000004</v>
      </c>
      <c r="F29" s="9">
        <v>160.19499999999999</v>
      </c>
    </row>
    <row r="30" spans="1:6" x14ac:dyDescent="0.3">
      <c r="B30" t="s">
        <v>6203</v>
      </c>
      <c r="C30" s="9">
        <v>342.2</v>
      </c>
      <c r="D30" s="9">
        <v>284.24999999999994</v>
      </c>
      <c r="E30" s="9">
        <v>251.83</v>
      </c>
      <c r="F30" s="9">
        <v>80.550000000000011</v>
      </c>
    </row>
    <row r="31" spans="1:6" x14ac:dyDescent="0.3">
      <c r="B31" t="s">
        <v>6204</v>
      </c>
      <c r="C31" s="9">
        <v>418.30499999999989</v>
      </c>
      <c r="D31" s="9">
        <v>468.125</v>
      </c>
      <c r="E31" s="9">
        <v>405.05500000000006</v>
      </c>
      <c r="F31" s="9">
        <v>253.15499999999997</v>
      </c>
    </row>
    <row r="32" spans="1:6" x14ac:dyDescent="0.3">
      <c r="B32" t="s">
        <v>6205</v>
      </c>
      <c r="C32" s="9">
        <v>102.32999999999998</v>
      </c>
      <c r="D32" s="9">
        <v>242.14000000000001</v>
      </c>
      <c r="E32" s="9">
        <v>554.875</v>
      </c>
      <c r="F32" s="9">
        <v>106.23999999999998</v>
      </c>
    </row>
    <row r="33" spans="1:6" x14ac:dyDescent="0.3">
      <c r="B33" t="s">
        <v>6206</v>
      </c>
      <c r="C33" s="9">
        <v>234.71999999999997</v>
      </c>
      <c r="D33" s="9">
        <v>133.08000000000001</v>
      </c>
      <c r="E33" s="9">
        <v>267.2</v>
      </c>
      <c r="F33" s="9">
        <v>272.68999999999994</v>
      </c>
    </row>
    <row r="34" spans="1:6" x14ac:dyDescent="0.3">
      <c r="B34" t="s">
        <v>6207</v>
      </c>
      <c r="C34" s="9">
        <v>430.39</v>
      </c>
      <c r="D34" s="9">
        <v>136.20500000000001</v>
      </c>
      <c r="E34" s="9">
        <v>209.6</v>
      </c>
      <c r="F34" s="9">
        <v>88.334999999999994</v>
      </c>
    </row>
    <row r="35" spans="1:6" x14ac:dyDescent="0.3">
      <c r="B35" t="s">
        <v>6208</v>
      </c>
      <c r="C35" s="9">
        <v>109.005</v>
      </c>
      <c r="D35" s="9">
        <v>393.57499999999999</v>
      </c>
      <c r="E35" s="9">
        <v>61.034999999999997</v>
      </c>
      <c r="F35" s="9">
        <v>199.48999999999998</v>
      </c>
    </row>
    <row r="36" spans="1:6" x14ac:dyDescent="0.3">
      <c r="B36" t="s">
        <v>6209</v>
      </c>
      <c r="C36" s="9">
        <v>287.52499999999998</v>
      </c>
      <c r="D36" s="9">
        <v>288.67</v>
      </c>
      <c r="E36" s="9">
        <v>125.58</v>
      </c>
      <c r="F36" s="9">
        <v>374.13499999999999</v>
      </c>
    </row>
    <row r="37" spans="1:6" x14ac:dyDescent="0.3">
      <c r="B37" t="s">
        <v>6210</v>
      </c>
      <c r="C37" s="9">
        <v>840.92999999999984</v>
      </c>
      <c r="D37" s="9">
        <v>409.875</v>
      </c>
      <c r="E37" s="9">
        <v>171.32999999999998</v>
      </c>
      <c r="F37" s="9">
        <v>221.43999999999997</v>
      </c>
    </row>
    <row r="38" spans="1:6" x14ac:dyDescent="0.3">
      <c r="B38" t="s">
        <v>6211</v>
      </c>
      <c r="C38" s="9">
        <v>299.07</v>
      </c>
      <c r="D38" s="9">
        <v>260.32499999999999</v>
      </c>
      <c r="E38" s="9">
        <v>584.64</v>
      </c>
      <c r="F38" s="9">
        <v>256.36500000000001</v>
      </c>
    </row>
    <row r="39" spans="1:6" x14ac:dyDescent="0.3">
      <c r="B39" t="s">
        <v>6212</v>
      </c>
      <c r="C39" s="9">
        <v>323.32499999999999</v>
      </c>
      <c r="D39" s="9">
        <v>565.57000000000005</v>
      </c>
      <c r="E39" s="9">
        <v>537.80999999999995</v>
      </c>
      <c r="F39" s="9">
        <v>189.47499999999999</v>
      </c>
    </row>
    <row r="40" spans="1:6" x14ac:dyDescent="0.3">
      <c r="B40" t="s">
        <v>6213</v>
      </c>
      <c r="C40" s="9">
        <v>399.48499999999996</v>
      </c>
      <c r="D40" s="9">
        <v>148.19999999999999</v>
      </c>
      <c r="E40" s="9">
        <v>388.21999999999997</v>
      </c>
      <c r="F40" s="9">
        <v>212.07499999999999</v>
      </c>
    </row>
    <row r="41" spans="1:6" x14ac:dyDescent="0.3">
      <c r="A41" t="s">
        <v>6201</v>
      </c>
      <c r="B41" t="s">
        <v>6202</v>
      </c>
      <c r="C41" s="9">
        <v>112.69499999999999</v>
      </c>
      <c r="D41" s="9">
        <v>166.32</v>
      </c>
      <c r="E41" s="9">
        <v>843.71499999999992</v>
      </c>
      <c r="F41" s="9">
        <v>146.685</v>
      </c>
    </row>
    <row r="42" spans="1:6" x14ac:dyDescent="0.3">
      <c r="B42" t="s">
        <v>6203</v>
      </c>
      <c r="C42" s="9">
        <v>114.87999999999998</v>
      </c>
      <c r="D42" s="9">
        <v>133.815</v>
      </c>
      <c r="E42" s="9">
        <v>91.175000000000011</v>
      </c>
      <c r="F42" s="9">
        <v>53.759999999999991</v>
      </c>
    </row>
    <row r="43" spans="1:6" x14ac:dyDescent="0.3">
      <c r="B43" t="s">
        <v>6204</v>
      </c>
      <c r="C43" s="9">
        <v>277.76</v>
      </c>
      <c r="D43" s="9">
        <v>175.41</v>
      </c>
      <c r="E43" s="9">
        <v>462.50999999999993</v>
      </c>
      <c r="F43" s="9">
        <v>399.52499999999998</v>
      </c>
    </row>
    <row r="44" spans="1:6" x14ac:dyDescent="0.3">
      <c r="B44" t="s">
        <v>6205</v>
      </c>
      <c r="C44" s="9">
        <v>197.89499999999998</v>
      </c>
      <c r="D44" s="9">
        <v>289.755</v>
      </c>
      <c r="E44" s="9">
        <v>88.545000000000002</v>
      </c>
      <c r="F44" s="9">
        <v>200.25499999999997</v>
      </c>
    </row>
    <row r="45" spans="1:6" x14ac:dyDescent="0.3">
      <c r="B45" t="s">
        <v>6206</v>
      </c>
      <c r="C45" s="9">
        <v>193.11499999999998</v>
      </c>
      <c r="D45" s="9">
        <v>212.49499999999998</v>
      </c>
      <c r="E45" s="9">
        <v>292.29000000000002</v>
      </c>
      <c r="F45" s="9">
        <v>304.46999999999997</v>
      </c>
    </row>
    <row r="46" spans="1:6" x14ac:dyDescent="0.3">
      <c r="B46" t="s">
        <v>6207</v>
      </c>
      <c r="C46" s="9">
        <v>179.79</v>
      </c>
      <c r="D46" s="9">
        <v>426.2</v>
      </c>
      <c r="E46" s="9">
        <v>170.08999999999997</v>
      </c>
      <c r="F46" s="9">
        <v>379.31</v>
      </c>
    </row>
    <row r="47" spans="1:6" x14ac:dyDescent="0.3">
      <c r="B47" t="s">
        <v>6208</v>
      </c>
      <c r="C47" s="9">
        <v>247.28999999999996</v>
      </c>
      <c r="D47" s="9">
        <v>246.685</v>
      </c>
      <c r="E47" s="9">
        <v>271.05499999999995</v>
      </c>
      <c r="F47" s="9">
        <v>141.69999999999999</v>
      </c>
    </row>
    <row r="48" spans="1:6" x14ac:dyDescent="0.3">
      <c r="B48" t="s">
        <v>6209</v>
      </c>
      <c r="C48" s="9">
        <v>116.39499999999998</v>
      </c>
      <c r="D48" s="9">
        <v>41.25</v>
      </c>
      <c r="E48" s="9">
        <v>15.54</v>
      </c>
      <c r="F48" s="9">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B6F44-0EA1-4145-B927-CDFCED16D705}">
  <dimension ref="A3:B6"/>
  <sheetViews>
    <sheetView zoomScale="104" zoomScaleNormal="70" workbookViewId="0">
      <selection activeCell="B15" sqref="B15"/>
    </sheetView>
  </sheetViews>
  <sheetFormatPr defaultRowHeight="14.4" x14ac:dyDescent="0.3"/>
  <cols>
    <col min="1" max="1" width="14.21875" bestFit="1" customWidth="1"/>
    <col min="2" max="3" width="11.6640625" bestFit="1" customWidth="1"/>
    <col min="4" max="4" width="7.109375" bestFit="1" customWidth="1"/>
    <col min="5" max="5" width="7.77734375" bestFit="1" customWidth="1"/>
    <col min="6" max="6" width="8" bestFit="1" customWidth="1"/>
  </cols>
  <sheetData>
    <row r="3" spans="1:2" x14ac:dyDescent="0.3">
      <c r="A3" s="8" t="s">
        <v>7</v>
      </c>
      <c r="B3" t="s">
        <v>6220</v>
      </c>
    </row>
    <row r="4" spans="1:2" x14ac:dyDescent="0.3">
      <c r="A4" t="s">
        <v>28</v>
      </c>
      <c r="B4" s="10">
        <v>2798.5050000000001</v>
      </c>
    </row>
    <row r="5" spans="1:2" x14ac:dyDescent="0.3">
      <c r="A5" t="s">
        <v>318</v>
      </c>
      <c r="B5" s="10">
        <v>6696.8649999999989</v>
      </c>
    </row>
    <row r="6" spans="1:2" x14ac:dyDescent="0.3">
      <c r="A6" t="s">
        <v>19</v>
      </c>
      <c r="B6" s="10">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E5E4A-E30A-48D0-A6FE-9780E1707DCA}">
  <dimension ref="A3:B8"/>
  <sheetViews>
    <sheetView zoomScale="104" zoomScaleNormal="70" workbookViewId="0">
      <selection activeCell="N10" sqref="N10"/>
    </sheetView>
  </sheetViews>
  <sheetFormatPr defaultRowHeight="14.4" x14ac:dyDescent="0.3"/>
  <cols>
    <col min="1" max="1" width="16.88671875" bestFit="1" customWidth="1"/>
    <col min="2" max="3" width="11.6640625" bestFit="1" customWidth="1"/>
    <col min="4" max="4" width="7.109375" bestFit="1" customWidth="1"/>
    <col min="5" max="5" width="7.77734375" bestFit="1" customWidth="1"/>
    <col min="6" max="6" width="8" bestFit="1" customWidth="1"/>
  </cols>
  <sheetData>
    <row r="3" spans="1:2" x14ac:dyDescent="0.3">
      <c r="A3" s="8" t="s">
        <v>4</v>
      </c>
      <c r="B3" t="s">
        <v>6220</v>
      </c>
    </row>
    <row r="4" spans="1:2" x14ac:dyDescent="0.3">
      <c r="A4" t="s">
        <v>3753</v>
      </c>
      <c r="B4" s="10">
        <v>278.01</v>
      </c>
    </row>
    <row r="5" spans="1:2" x14ac:dyDescent="0.3">
      <c r="A5" t="s">
        <v>1598</v>
      </c>
      <c r="B5" s="10">
        <v>281.67499999999995</v>
      </c>
    </row>
    <row r="6" spans="1:2" x14ac:dyDescent="0.3">
      <c r="A6" t="s">
        <v>2587</v>
      </c>
      <c r="B6" s="10">
        <v>289.11</v>
      </c>
    </row>
    <row r="7" spans="1:2" x14ac:dyDescent="0.3">
      <c r="A7" t="s">
        <v>5765</v>
      </c>
      <c r="B7" s="10">
        <v>307.04499999999996</v>
      </c>
    </row>
    <row r="8" spans="1:2" x14ac:dyDescent="0.3">
      <c r="A8" t="s">
        <v>5114</v>
      </c>
      <c r="B8" s="10">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81" zoomScaleNormal="115" workbookViewId="0">
      <selection activeCell="O3" sqref="O3"/>
    </sheetView>
  </sheetViews>
  <sheetFormatPr defaultRowHeight="14.4" x14ac:dyDescent="0.3"/>
  <cols>
    <col min="1" max="1" width="16.5546875" bestFit="1" customWidth="1"/>
    <col min="2" max="2" width="12.44140625" bestFit="1" customWidth="1"/>
    <col min="3" max="3" width="17.44140625" bestFit="1" customWidth="1"/>
    <col min="4" max="4" width="11.77734375" customWidth="1"/>
    <col min="5" max="5" width="10.33203125" customWidth="1"/>
    <col min="6" max="6" width="21.88671875" bestFit="1" customWidth="1"/>
    <col min="7" max="7" width="36" bestFit="1" customWidth="1"/>
    <col min="8" max="8" width="11.88671875" bestFit="1" customWidth="1"/>
    <col min="9" max="9" width="13" customWidth="1"/>
    <col min="10" max="10" width="12.21875" customWidth="1"/>
    <col min="11" max="11" width="6.21875" customWidth="1"/>
    <col min="12" max="12" width="11.21875" customWidth="1"/>
    <col min="13" max="13" width="9.109375" bestFit="1" customWidth="1"/>
    <col min="14" max="14" width="18.44140625" customWidth="1"/>
    <col min="15" max="15" width="17.664062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4"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_xlfn.XLOOKUP(C2,customers!$A$2:$A$1001,customers!$B$2:$B$1001,,0)</f>
        <v>Aloisia Allner</v>
      </c>
      <c r="G2" s="2" t="str">
        <f>IF(_xlfn.XLOOKUP(C2,customers!$A$1:$A$1001,customers!$C$1:$C$1001,,0)=0,"",_xlfn.XLOOKUP(C2,customers!$A$1:$A$1001,customers!$C$1:$C$1001,,0))</f>
        <v>aallner0@lulu.com</v>
      </c>
      <c r="H2" s="2" t="str">
        <f>_xlfn.XLOOKUP(C2,customers!$A$1:$A$1001,customers!$G$1:$G$1001,,0)</f>
        <v>United States</v>
      </c>
      <c r="I2" t="str">
        <f>INDEX(products!$A$1:$G$49, MATCH(orders!$D2, products!$A$1:$A$49, 0), MATCH(orders!I$1, products!$A$1:$G$1, 0))</f>
        <v>Rob</v>
      </c>
      <c r="J2" t="str">
        <f>INDEX(products!$A$1:$G$49, MATCH(orders!$D2, products!$A$1:$A$49, 0), MATCH(orders!J$1, products!$A$1:$G$1, 0))</f>
        <v>M</v>
      </c>
      <c r="K2" s="5">
        <f>INDEX(products!$A$1:$G$49, MATCH(orders!$D2, products!$A$1:$A$49, 0), MATCH(orders!K$1, products!$A$1:$G$1, 0))</f>
        <v>1</v>
      </c>
      <c r="L2" s="6">
        <f>INDEX(products!$A$1:$G$49, MATCH(orders!$D2, products!$A$1:$A$49, 0), MATCH(orders!L$1, products!$A$1:$G$1, 0))</f>
        <v>9.9499999999999993</v>
      </c>
      <c r="M2" s="6">
        <f>L2*E2</f>
        <v>19.899999999999999</v>
      </c>
      <c r="N2" t="str">
        <f>IF(I2="Rob","Robusta",IF(I2="Exc","Excelsa",IF(I2="Ara","Arabica",IF(I2="lib","Liberica",""))))</f>
        <v>Robusta</v>
      </c>
      <c r="O2" t="str">
        <f t="shared" ref="O2:O65" si="0">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_xlfn.XLOOKUP(C3,customers!$A$2:$A$1001,customers!$B$2:$B$1001,,0)</f>
        <v>Aloisia Allner</v>
      </c>
      <c r="G3" s="2" t="str">
        <f>IF(_xlfn.XLOOKUP(C3,customers!$A$1:$A$1001,customers!$C$1:$C$1001,,0)=0,"",_xlfn.XLOOKUP(C3,customers!$A$1:$A$1001,customers!$C$1:$C$1001,,0))</f>
        <v>aallner0@lulu.com</v>
      </c>
      <c r="H3" s="2" t="str">
        <f>_xlfn.XLOOKUP(C3,customers!$A$1:$A$1001,customers!$G$1:$G$1001,,0)</f>
        <v>United States</v>
      </c>
      <c r="I3" t="str">
        <f>INDEX(products!$A$1:$G$49, MATCH(orders!$D3, products!$A$1:$A$49, 0), MATCH(orders!I$1, products!$A$1:$G$1, 0))</f>
        <v>Exc</v>
      </c>
      <c r="J3" t="str">
        <f>INDEX(products!$A$1:$G$49, MATCH(orders!$D3, products!$A$1:$A$49, 0), MATCH(orders!J$1, products!$A$1:$G$1, 0))</f>
        <v>M</v>
      </c>
      <c r="K3" s="5">
        <f>INDEX(products!$A$1:$G$49, MATCH(orders!$D3, products!$A$1:$A$49, 0), MATCH(orders!K$1, products!$A$1:$G$1, 0))</f>
        <v>0.5</v>
      </c>
      <c r="L3" s="6">
        <f>INDEX(products!$A$1:$G$49, MATCH(orders!$D3, products!$A$1:$A$49, 0), MATCH(orders!L$1, products!$A$1:$G$1, 0))</f>
        <v>8.25</v>
      </c>
      <c r="M3" s="6">
        <f t="shared" ref="M3:M66" si="1">L3*E3</f>
        <v>41.25</v>
      </c>
      <c r="N3" t="str">
        <f t="shared" ref="N3:N66" si="2">IF(I3="Rob","Robusta",IF(I3="Exc","Excelsa",IF(I3="Ara","Arabica",IF(I3="lib","Liberica",""))))</f>
        <v>Excelsa</v>
      </c>
      <c r="O3" t="str">
        <f t="shared" si="0"/>
        <v>Medium</v>
      </c>
      <c r="P3" t="str">
        <f>_xlfn.XLOOKUP(Orders[[#This Row],[Customer ID]],customers!$A$1:$A$1001,customers!$I$1:$I$1001,,0)</f>
        <v>Yes</v>
      </c>
    </row>
    <row r="4" spans="1:16" x14ac:dyDescent="0.3">
      <c r="A4" s="2" t="s">
        <v>501</v>
      </c>
      <c r="B4" s="3">
        <v>44364</v>
      </c>
      <c r="C4" s="2" t="s">
        <v>502</v>
      </c>
      <c r="D4" t="s">
        <v>6140</v>
      </c>
      <c r="E4" s="2">
        <v>1</v>
      </c>
      <c r="F4" s="2" t="str">
        <f>_xlfn.XLOOKUP(C4,customers!$A$2:$A$1001,customers!$B$2:$B$1001,,0)</f>
        <v>Jami Redholes</v>
      </c>
      <c r="G4" s="2" t="str">
        <f>IF(_xlfn.XLOOKUP(C4,customers!$A$1:$A$1001,customers!$C$1:$C$1001,,0)=0,"",_xlfn.XLOOKUP(C4,customers!$A$1:$A$1001,customers!$C$1:$C$1001,,0))</f>
        <v>jredholes2@tmall.com</v>
      </c>
      <c r="H4" s="2" t="str">
        <f>_xlfn.XLOOKUP(C4,customers!$A$1:$A$1001,customers!$G$1:$G$1001,,0)</f>
        <v>United States</v>
      </c>
      <c r="I4" t="str">
        <f>INDEX(products!$A$1:$G$49, MATCH(orders!$D4, products!$A$1:$A$49, 0), MATCH(orders!I$1, products!$A$1:$G$1, 0))</f>
        <v>Ara</v>
      </c>
      <c r="J4" t="str">
        <f>INDEX(products!$A$1:$G$49, MATCH(orders!$D4, products!$A$1:$A$49, 0), MATCH(orders!J$1, products!$A$1:$G$1, 0))</f>
        <v>L</v>
      </c>
      <c r="K4" s="5">
        <f>INDEX(products!$A$1:$G$49, MATCH(orders!$D4, products!$A$1:$A$49, 0), MATCH(orders!K$1, products!$A$1:$G$1, 0))</f>
        <v>1</v>
      </c>
      <c r="L4" s="6">
        <f>INDEX(products!$A$1:$G$49, MATCH(orders!$D4, products!$A$1:$A$49, 0), MATCH(orders!L$1, products!$A$1:$G$1, 0))</f>
        <v>12.95</v>
      </c>
      <c r="M4" s="6">
        <f t="shared" si="1"/>
        <v>12.95</v>
      </c>
      <c r="N4" t="str">
        <f t="shared" si="2"/>
        <v>Arabica</v>
      </c>
      <c r="O4" t="str">
        <f t="shared" si="0"/>
        <v>Light</v>
      </c>
      <c r="P4" t="str">
        <f>_xlfn.XLOOKUP(Orders[[#This Row],[Customer ID]],customers!$A$1:$A$1001,customers!$I$1:$I$1001,,0)</f>
        <v>Yes</v>
      </c>
    </row>
    <row r="5" spans="1:16" x14ac:dyDescent="0.3">
      <c r="A5" s="2" t="s">
        <v>512</v>
      </c>
      <c r="B5" s="3">
        <v>44392</v>
      </c>
      <c r="C5" s="2" t="s">
        <v>513</v>
      </c>
      <c r="D5" t="s">
        <v>6141</v>
      </c>
      <c r="E5" s="2">
        <v>2</v>
      </c>
      <c r="F5" s="2" t="str">
        <f>_xlfn.XLOOKUP(C5,customers!$A$2:$A$1001,customers!$B$2:$B$1001,,0)</f>
        <v>Christoffer O' Shea</v>
      </c>
      <c r="G5" s="2" t="str">
        <f>IF(_xlfn.XLOOKUP(C5,customers!$A$1:$A$1001,customers!$C$1:$C$1001,,0)=0,"",_xlfn.XLOOKUP(C5,customers!$A$1:$A$1001,customers!$C$1:$C$1001,,0))</f>
        <v/>
      </c>
      <c r="H5" s="2" t="str">
        <f>_xlfn.XLOOKUP(C5,customers!$A$1:$A$1001,customers!$G$1:$G$1001,,0)</f>
        <v>Ireland</v>
      </c>
      <c r="I5" t="str">
        <f>INDEX(products!$A$1:$G$49, MATCH(orders!$D5, products!$A$1:$A$49, 0), MATCH(orders!I$1, products!$A$1:$G$1, 0))</f>
        <v>Exc</v>
      </c>
      <c r="J5" t="str">
        <f>INDEX(products!$A$1:$G$49, MATCH(orders!$D5, products!$A$1:$A$49, 0), MATCH(orders!J$1, products!$A$1:$G$1, 0))</f>
        <v>M</v>
      </c>
      <c r="K5" s="5">
        <f>INDEX(products!$A$1:$G$49, MATCH(orders!$D5, products!$A$1:$A$49, 0), MATCH(orders!K$1, products!$A$1:$G$1, 0))</f>
        <v>1</v>
      </c>
      <c r="L5" s="6">
        <f>INDEX(products!$A$1:$G$49, MATCH(orders!$D5, products!$A$1:$A$49, 0), MATCH(orders!L$1, products!$A$1:$G$1, 0))</f>
        <v>13.75</v>
      </c>
      <c r="M5" s="6">
        <f t="shared" si="1"/>
        <v>27.5</v>
      </c>
      <c r="N5" t="str">
        <f t="shared" si="2"/>
        <v>Excelsa</v>
      </c>
      <c r="O5" t="str">
        <f t="shared" si="0"/>
        <v>Medium</v>
      </c>
      <c r="P5" t="str">
        <f>_xlfn.XLOOKUP(Orders[[#This Row],[Customer ID]],customers!$A$1:$A$1001,customers!$I$1:$I$1001,,0)</f>
        <v>No</v>
      </c>
    </row>
    <row r="6" spans="1:16" x14ac:dyDescent="0.3">
      <c r="A6" s="2" t="s">
        <v>512</v>
      </c>
      <c r="B6" s="3">
        <v>44392</v>
      </c>
      <c r="C6" s="2" t="s">
        <v>513</v>
      </c>
      <c r="D6" t="s">
        <v>6142</v>
      </c>
      <c r="E6" s="2">
        <v>2</v>
      </c>
      <c r="F6" s="2" t="str">
        <f>_xlfn.XLOOKUP(C6,customers!$A$2:$A$1001,customers!$B$2:$B$1001,,0)</f>
        <v>Christoffer O' Shea</v>
      </c>
      <c r="G6" s="2" t="str">
        <f>IF(_xlfn.XLOOKUP(C6,customers!$A$1:$A$1001,customers!$C$1:$C$1001,,0)=0,"",_xlfn.XLOOKUP(C6,customers!$A$1:$A$1001,customers!$C$1:$C$1001,,0))</f>
        <v/>
      </c>
      <c r="H6" s="2" t="str">
        <f>_xlfn.XLOOKUP(C6,customers!$A$1:$A$1001,customers!$G$1:$G$1001,,0)</f>
        <v>Ireland</v>
      </c>
      <c r="I6" t="str">
        <f>INDEX(products!$A$1:$G$49, MATCH(orders!$D6, products!$A$1:$A$49, 0), MATCH(orders!I$1, products!$A$1:$G$1, 0))</f>
        <v>Rob</v>
      </c>
      <c r="J6" t="str">
        <f>INDEX(products!$A$1:$G$49, MATCH(orders!$D6, products!$A$1:$A$49, 0), MATCH(orders!J$1, products!$A$1:$G$1, 0))</f>
        <v>L</v>
      </c>
      <c r="K6" s="5">
        <f>INDEX(products!$A$1:$G$49, MATCH(orders!$D6, products!$A$1:$A$49, 0), MATCH(orders!K$1, products!$A$1:$G$1, 0))</f>
        <v>2.5</v>
      </c>
      <c r="L6" s="6">
        <f>INDEX(products!$A$1:$G$49, MATCH(orders!$D6, products!$A$1:$A$49, 0), MATCH(orders!L$1, products!$A$1:$G$1, 0))</f>
        <v>27.484999999999996</v>
      </c>
      <c r="M6" s="6">
        <f t="shared" si="1"/>
        <v>54.969999999999992</v>
      </c>
      <c r="N6" t="str">
        <f t="shared" si="2"/>
        <v>Robusta</v>
      </c>
      <c r="O6" t="str">
        <f t="shared" si="0"/>
        <v>Light</v>
      </c>
      <c r="P6" t="str">
        <f>_xlfn.XLOOKUP(Orders[[#This Row],[Customer ID]],customers!$A$1:$A$1001,customers!$I$1:$I$1001,,0)</f>
        <v>No</v>
      </c>
    </row>
    <row r="7" spans="1:16" x14ac:dyDescent="0.3">
      <c r="A7" s="2" t="s">
        <v>519</v>
      </c>
      <c r="B7" s="3">
        <v>44412</v>
      </c>
      <c r="C7" s="2" t="s">
        <v>520</v>
      </c>
      <c r="D7" t="s">
        <v>6143</v>
      </c>
      <c r="E7" s="2">
        <v>3</v>
      </c>
      <c r="F7" s="2" t="str">
        <f>_xlfn.XLOOKUP(C7,customers!$A$2:$A$1001,customers!$B$2:$B$1001,,0)</f>
        <v>Beryle Cottier</v>
      </c>
      <c r="G7" s="2" t="str">
        <f>IF(_xlfn.XLOOKUP(C7,customers!$A$1:$A$1001,customers!$C$1:$C$1001,,0)=0,"",_xlfn.XLOOKUP(C7,customers!$A$1:$A$1001,customers!$C$1:$C$1001,,0))</f>
        <v/>
      </c>
      <c r="H7" s="2" t="str">
        <f>_xlfn.XLOOKUP(C7,customers!$A$1:$A$1001,customers!$G$1:$G$1001,,0)</f>
        <v>United States</v>
      </c>
      <c r="I7" t="str">
        <f>INDEX(products!$A$1:$G$49, MATCH(orders!$D7, products!$A$1:$A$49, 0), MATCH(orders!I$1, products!$A$1:$G$1, 0))</f>
        <v>Lib</v>
      </c>
      <c r="J7" t="str">
        <f>INDEX(products!$A$1:$G$49, MATCH(orders!$D7, products!$A$1:$A$49, 0), MATCH(orders!J$1, products!$A$1:$G$1, 0))</f>
        <v>D</v>
      </c>
      <c r="K7" s="5">
        <f>INDEX(products!$A$1:$G$49, MATCH(orders!$D7, products!$A$1:$A$49, 0), MATCH(orders!K$1, products!$A$1:$G$1, 0))</f>
        <v>1</v>
      </c>
      <c r="L7" s="6">
        <f>INDEX(products!$A$1:$G$49, MATCH(orders!$D7, products!$A$1:$A$49, 0), MATCH(orders!L$1, products!$A$1:$G$1, 0))</f>
        <v>12.95</v>
      </c>
      <c r="M7" s="6">
        <f t="shared" si="1"/>
        <v>38.849999999999994</v>
      </c>
      <c r="N7" t="str">
        <f t="shared" si="2"/>
        <v>Liberica</v>
      </c>
      <c r="O7" t="str">
        <f t="shared" si="0"/>
        <v>Dark</v>
      </c>
      <c r="P7" t="str">
        <f>_xlfn.XLOOKUP(Orders[[#This Row],[Customer ID]],customers!$A$1:$A$1001,customers!$I$1:$I$1001,,0)</f>
        <v>No</v>
      </c>
    </row>
    <row r="8" spans="1:16" x14ac:dyDescent="0.3">
      <c r="A8" s="2" t="s">
        <v>524</v>
      </c>
      <c r="B8" s="3">
        <v>44582</v>
      </c>
      <c r="C8" s="2" t="s">
        <v>525</v>
      </c>
      <c r="D8" t="s">
        <v>6144</v>
      </c>
      <c r="E8" s="2">
        <v>3</v>
      </c>
      <c r="F8" s="2" t="str">
        <f>_xlfn.XLOOKUP(C8,customers!$A$2:$A$1001,customers!$B$2:$B$1001,,0)</f>
        <v>Shaylynn Lobe</v>
      </c>
      <c r="G8" s="2" t="str">
        <f>IF(_xlfn.XLOOKUP(C8,customers!$A$1:$A$1001,customers!$C$1:$C$1001,,0)=0,"",_xlfn.XLOOKUP(C8,customers!$A$1:$A$1001,customers!$C$1:$C$1001,,0))</f>
        <v>slobe6@nifty.com</v>
      </c>
      <c r="H8" s="2" t="str">
        <f>_xlfn.XLOOKUP(C8,customers!$A$1:$A$1001,customers!$G$1:$G$1001,,0)</f>
        <v>United States</v>
      </c>
      <c r="I8" t="str">
        <f>INDEX(products!$A$1:$G$49, MATCH(orders!$D8, products!$A$1:$A$49, 0), MATCH(orders!I$1, products!$A$1:$G$1, 0))</f>
        <v>Exc</v>
      </c>
      <c r="J8" t="str">
        <f>INDEX(products!$A$1:$G$49, MATCH(orders!$D8, products!$A$1:$A$49, 0), MATCH(orders!J$1, products!$A$1:$G$1, 0))</f>
        <v>D</v>
      </c>
      <c r="K8" s="5">
        <f>INDEX(products!$A$1:$G$49, MATCH(orders!$D8, products!$A$1:$A$49, 0), MATCH(orders!K$1, products!$A$1:$G$1, 0))</f>
        <v>0.5</v>
      </c>
      <c r="L8" s="6">
        <f>INDEX(products!$A$1:$G$49, MATCH(orders!$D8, products!$A$1:$A$49, 0), MATCH(orders!L$1, products!$A$1:$G$1, 0))</f>
        <v>7.29</v>
      </c>
      <c r="M8" s="6">
        <f t="shared" si="1"/>
        <v>21.87</v>
      </c>
      <c r="N8" t="str">
        <f t="shared" si="2"/>
        <v>Excelsa</v>
      </c>
      <c r="O8" t="str">
        <f t="shared" si="0"/>
        <v>Dark</v>
      </c>
      <c r="P8" t="str">
        <f>_xlfn.XLOOKUP(Orders[[#This Row],[Customer ID]],customers!$A$1:$A$1001,customers!$I$1:$I$1001,,0)</f>
        <v>Yes</v>
      </c>
    </row>
    <row r="9" spans="1:16" x14ac:dyDescent="0.3">
      <c r="A9" s="2" t="s">
        <v>530</v>
      </c>
      <c r="B9" s="3">
        <v>44701</v>
      </c>
      <c r="C9" s="2" t="s">
        <v>531</v>
      </c>
      <c r="D9" t="s">
        <v>6145</v>
      </c>
      <c r="E9" s="2">
        <v>1</v>
      </c>
      <c r="F9" s="2" t="str">
        <f>_xlfn.XLOOKUP(C9,customers!$A$2:$A$1001,customers!$B$2:$B$1001,,0)</f>
        <v>Melvin Wharfe</v>
      </c>
      <c r="G9" s="2" t="str">
        <f>IF(_xlfn.XLOOKUP(C9,customers!$A$1:$A$1001,customers!$C$1:$C$1001,,0)=0,"",_xlfn.XLOOKUP(C9,customers!$A$1:$A$1001,customers!$C$1:$C$1001,,0))</f>
        <v/>
      </c>
      <c r="H9" s="2" t="str">
        <f>_xlfn.XLOOKUP(C9,customers!$A$1:$A$1001,customers!$G$1:$G$1001,,0)</f>
        <v>Ireland</v>
      </c>
      <c r="I9" t="str">
        <f>INDEX(products!$A$1:$G$49, MATCH(orders!$D9, products!$A$1:$A$49, 0), MATCH(orders!I$1, products!$A$1:$G$1, 0))</f>
        <v>Lib</v>
      </c>
      <c r="J9" t="str">
        <f>INDEX(products!$A$1:$G$49, MATCH(orders!$D9, products!$A$1:$A$49, 0), MATCH(orders!J$1, products!$A$1:$G$1, 0))</f>
        <v>L</v>
      </c>
      <c r="K9" s="5">
        <f>INDEX(products!$A$1:$G$49, MATCH(orders!$D9, products!$A$1:$A$49, 0), MATCH(orders!K$1, products!$A$1:$G$1, 0))</f>
        <v>0.2</v>
      </c>
      <c r="L9" s="6">
        <f>INDEX(products!$A$1:$G$49, MATCH(orders!$D9, products!$A$1:$A$49, 0), MATCH(orders!L$1, products!$A$1:$G$1, 0))</f>
        <v>4.7549999999999999</v>
      </c>
      <c r="M9" s="6">
        <f t="shared" si="1"/>
        <v>4.7549999999999999</v>
      </c>
      <c r="N9" t="str">
        <f t="shared" si="2"/>
        <v>Liberica</v>
      </c>
      <c r="O9" t="str">
        <f t="shared" si="0"/>
        <v>Light</v>
      </c>
      <c r="P9" t="str">
        <f>_xlfn.XLOOKUP(Orders[[#This Row],[Customer ID]],customers!$A$1:$A$1001,customers!$I$1:$I$1001,,0)</f>
        <v>Yes</v>
      </c>
    </row>
    <row r="10" spans="1:16" x14ac:dyDescent="0.3">
      <c r="A10" s="2" t="s">
        <v>535</v>
      </c>
      <c r="B10" s="3">
        <v>43467</v>
      </c>
      <c r="C10" s="2" t="s">
        <v>536</v>
      </c>
      <c r="D10" t="s">
        <v>6146</v>
      </c>
      <c r="E10" s="2">
        <v>3</v>
      </c>
      <c r="F10" s="2" t="str">
        <f>_xlfn.XLOOKUP(C10,customers!$A$2:$A$1001,customers!$B$2:$B$1001,,0)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 MATCH(orders!$D10, products!$A$1:$A$49, 0), MATCH(orders!I$1, products!$A$1:$G$1, 0))</f>
        <v>Rob</v>
      </c>
      <c r="J10" t="str">
        <f>INDEX(products!$A$1:$G$49, MATCH(orders!$D10, products!$A$1:$A$49, 0), MATCH(orders!J$1, products!$A$1:$G$1, 0))</f>
        <v>M</v>
      </c>
      <c r="K10" s="5">
        <f>INDEX(products!$A$1:$G$49, MATCH(orders!$D10, products!$A$1:$A$49, 0), MATCH(orders!K$1, products!$A$1:$G$1, 0))</f>
        <v>0.5</v>
      </c>
      <c r="L10" s="6">
        <f>INDEX(products!$A$1:$G$49, MATCH(orders!$D10, products!$A$1:$A$49, 0), MATCH(orders!L$1, products!$A$1:$G$1, 0))</f>
        <v>5.97</v>
      </c>
      <c r="M10" s="6">
        <f t="shared" si="1"/>
        <v>17.91</v>
      </c>
      <c r="N10" t="str">
        <f t="shared" si="2"/>
        <v>Robusta</v>
      </c>
      <c r="O10" t="str">
        <f t="shared" si="0"/>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_xlfn.XLOOKUP(C11,customers!$A$2:$A$1001,customers!$B$2:$B$1001,,0)</f>
        <v>Rodger Raven</v>
      </c>
      <c r="G11" s="2" t="str">
        <f>IF(_xlfn.XLOOKUP(C11,customers!$A$1:$A$1001,customers!$C$1:$C$1001,,0)=0,"",_xlfn.XLOOKUP(C11,customers!$A$1:$A$1001,customers!$C$1:$C$1001,,0))</f>
        <v>rraven9@ed.gov</v>
      </c>
      <c r="H11" s="2" t="str">
        <f>_xlfn.XLOOKUP(C11,customers!$A$1:$A$1001,customers!$G$1:$G$1001,,0)</f>
        <v>United States</v>
      </c>
      <c r="I11" t="str">
        <f>INDEX(products!$A$1:$G$49, MATCH(orders!$D11, products!$A$1:$A$49, 0), MATCH(orders!I$1, products!$A$1:$G$1, 0))</f>
        <v>Rob</v>
      </c>
      <c r="J11" t="str">
        <f>INDEX(products!$A$1:$G$49, MATCH(orders!$D11, products!$A$1:$A$49, 0), MATCH(orders!J$1, products!$A$1:$G$1, 0))</f>
        <v>M</v>
      </c>
      <c r="K11" s="5">
        <f>INDEX(products!$A$1:$G$49, MATCH(orders!$D11, products!$A$1:$A$49, 0), MATCH(orders!K$1, products!$A$1:$G$1, 0))</f>
        <v>0.5</v>
      </c>
      <c r="L11" s="6">
        <f>INDEX(products!$A$1:$G$49, MATCH(orders!$D11, products!$A$1:$A$49, 0), MATCH(orders!L$1, products!$A$1:$G$1, 0))</f>
        <v>5.97</v>
      </c>
      <c r="M11" s="6">
        <f t="shared" si="1"/>
        <v>5.97</v>
      </c>
      <c r="N11" t="str">
        <f t="shared" si="2"/>
        <v>Robusta</v>
      </c>
      <c r="O11" t="str">
        <f t="shared" si="0"/>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_xlfn.XLOOKUP(C12,customers!$A$2:$A$1001,customers!$B$2:$B$1001,,0)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 MATCH(orders!$D12, products!$A$1:$A$49, 0), MATCH(orders!I$1, products!$A$1:$G$1, 0))</f>
        <v>Ara</v>
      </c>
      <c r="J12" t="str">
        <f>INDEX(products!$A$1:$G$49, MATCH(orders!$D12, products!$A$1:$A$49, 0), MATCH(orders!J$1, products!$A$1:$G$1, 0))</f>
        <v>D</v>
      </c>
      <c r="K12" s="5">
        <f>INDEX(products!$A$1:$G$49, MATCH(orders!$D12, products!$A$1:$A$49, 0), MATCH(orders!K$1, products!$A$1:$G$1, 0))</f>
        <v>1</v>
      </c>
      <c r="L12" s="6">
        <f>INDEX(products!$A$1:$G$49, MATCH(orders!$D12, products!$A$1:$A$49, 0), MATCH(orders!L$1, products!$A$1:$G$1, 0))</f>
        <v>9.9499999999999993</v>
      </c>
      <c r="M12" s="6">
        <f t="shared" si="1"/>
        <v>39.799999999999997</v>
      </c>
      <c r="N12" t="str">
        <f t="shared" si="2"/>
        <v>Arabica</v>
      </c>
      <c r="O12" t="str">
        <f t="shared" si="0"/>
        <v>Dark</v>
      </c>
      <c r="P12" t="str">
        <f>_xlfn.XLOOKUP(Orders[[#This Row],[Customer ID]],customers!$A$1:$A$1001,customers!$I$1:$I$1001,,0)</f>
        <v>No</v>
      </c>
    </row>
    <row r="13" spans="1:16" x14ac:dyDescent="0.3">
      <c r="A13" s="2" t="s">
        <v>553</v>
      </c>
      <c r="B13" s="3">
        <v>44132</v>
      </c>
      <c r="C13" s="2" t="s">
        <v>554</v>
      </c>
      <c r="D13" t="s">
        <v>6148</v>
      </c>
      <c r="E13" s="2">
        <v>5</v>
      </c>
      <c r="F13" s="2" t="str">
        <f>_xlfn.XLOOKUP(C13,customers!$A$2:$A$1001,customers!$B$2:$B$1001,,0)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 MATCH(orders!$D13, products!$A$1:$A$49, 0), MATCH(orders!I$1, products!$A$1:$G$1, 0))</f>
        <v>Exc</v>
      </c>
      <c r="J13" t="str">
        <f>INDEX(products!$A$1:$G$49, MATCH(orders!$D13, products!$A$1:$A$49, 0), MATCH(orders!J$1, products!$A$1:$G$1, 0))</f>
        <v>L</v>
      </c>
      <c r="K13" s="5">
        <f>INDEX(products!$A$1:$G$49, MATCH(orders!$D13, products!$A$1:$A$49, 0), MATCH(orders!K$1, products!$A$1:$G$1, 0))</f>
        <v>2.5</v>
      </c>
      <c r="L13" s="6">
        <f>INDEX(products!$A$1:$G$49, MATCH(orders!$D13, products!$A$1:$A$49, 0), MATCH(orders!L$1, products!$A$1:$G$1, 0))</f>
        <v>34.154999999999994</v>
      </c>
      <c r="M13" s="6">
        <f t="shared" si="1"/>
        <v>170.77499999999998</v>
      </c>
      <c r="N13" t="str">
        <f t="shared" si="2"/>
        <v>Excelsa</v>
      </c>
      <c r="O13" t="str">
        <f t="shared" si="0"/>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_xlfn.XLOOKUP(C14,customers!$A$2:$A$1001,customers!$B$2:$B$1001,,0)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 MATCH(orders!$D14, products!$A$1:$A$49, 0), MATCH(orders!I$1, products!$A$1:$G$1, 0))</f>
        <v>Rob</v>
      </c>
      <c r="J14" t="str">
        <f>INDEX(products!$A$1:$G$49, MATCH(orders!$D14, products!$A$1:$A$49, 0), MATCH(orders!J$1, products!$A$1:$G$1, 0))</f>
        <v>M</v>
      </c>
      <c r="K14" s="5">
        <f>INDEX(products!$A$1:$G$49, MATCH(orders!$D14, products!$A$1:$A$49, 0), MATCH(orders!K$1, products!$A$1:$G$1, 0))</f>
        <v>1</v>
      </c>
      <c r="L14" s="6">
        <f>INDEX(products!$A$1:$G$49, MATCH(orders!$D14, products!$A$1:$A$49, 0), MATCH(orders!L$1, products!$A$1:$G$1, 0))</f>
        <v>9.9499999999999993</v>
      </c>
      <c r="M14" s="6">
        <f t="shared" si="1"/>
        <v>49.75</v>
      </c>
      <c r="N14" t="str">
        <f t="shared" si="2"/>
        <v>Robusta</v>
      </c>
      <c r="O14" t="str">
        <f t="shared" si="0"/>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_xlfn.XLOOKUP(C15,customers!$A$2:$A$1001,customers!$B$2:$B$1001,,0)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 MATCH(orders!$D15, products!$A$1:$A$49, 0), MATCH(orders!I$1, products!$A$1:$G$1, 0))</f>
        <v>Rob</v>
      </c>
      <c r="J15" t="str">
        <f>INDEX(products!$A$1:$G$49, MATCH(orders!$D15, products!$A$1:$A$49, 0), MATCH(orders!J$1, products!$A$1:$G$1, 0))</f>
        <v>D</v>
      </c>
      <c r="K15" s="5">
        <f>INDEX(products!$A$1:$G$49, MATCH(orders!$D15, products!$A$1:$A$49, 0), MATCH(orders!K$1, products!$A$1:$G$1, 0))</f>
        <v>2.5</v>
      </c>
      <c r="L15" s="6">
        <f>INDEX(products!$A$1:$G$49, MATCH(orders!$D15, products!$A$1:$A$49, 0), MATCH(orders!L$1, products!$A$1:$G$1, 0))</f>
        <v>20.584999999999997</v>
      </c>
      <c r="M15" s="6">
        <f t="shared" si="1"/>
        <v>41.169999999999995</v>
      </c>
      <c r="N15" t="str">
        <f t="shared" si="2"/>
        <v>Robusta</v>
      </c>
      <c r="O15" t="str">
        <f t="shared" si="0"/>
        <v>Dark</v>
      </c>
      <c r="P15" t="str">
        <f>_xlfn.XLOOKUP(Orders[[#This Row],[Customer ID]],customers!$A$1:$A$1001,customers!$I$1:$I$1001,,0)</f>
        <v>No</v>
      </c>
    </row>
    <row r="16" spans="1:16" x14ac:dyDescent="0.3">
      <c r="A16" s="2" t="s">
        <v>570</v>
      </c>
      <c r="B16" s="3">
        <v>44656</v>
      </c>
      <c r="C16" s="2" t="s">
        <v>571</v>
      </c>
      <c r="D16" t="s">
        <v>6150</v>
      </c>
      <c r="E16" s="2">
        <v>3</v>
      </c>
      <c r="F16" s="2" t="str">
        <f>_xlfn.XLOOKUP(C16,customers!$A$2:$A$1001,customers!$B$2:$B$1001,,0)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 MATCH(orders!$D16, products!$A$1:$A$49, 0), MATCH(orders!I$1, products!$A$1:$G$1, 0))</f>
        <v>Lib</v>
      </c>
      <c r="J16" t="str">
        <f>INDEX(products!$A$1:$G$49, MATCH(orders!$D16, products!$A$1:$A$49, 0), MATCH(orders!J$1, products!$A$1:$G$1, 0))</f>
        <v>D</v>
      </c>
      <c r="K16" s="5">
        <f>INDEX(products!$A$1:$G$49, MATCH(orders!$D16, products!$A$1:$A$49, 0), MATCH(orders!K$1, products!$A$1:$G$1, 0))</f>
        <v>0.2</v>
      </c>
      <c r="L16" s="6">
        <f>INDEX(products!$A$1:$G$49, MATCH(orders!$D16, products!$A$1:$A$49, 0), MATCH(orders!L$1, products!$A$1:$G$1, 0))</f>
        <v>3.8849999999999998</v>
      </c>
      <c r="M16" s="6">
        <f t="shared" si="1"/>
        <v>11.654999999999999</v>
      </c>
      <c r="N16" t="str">
        <f t="shared" si="2"/>
        <v>Liberica</v>
      </c>
      <c r="O16" t="str">
        <f t="shared" si="0"/>
        <v>Dark</v>
      </c>
      <c r="P16" t="str">
        <f>_xlfn.XLOOKUP(Orders[[#This Row],[Customer ID]],customers!$A$1:$A$1001,customers!$I$1:$I$1001,,0)</f>
        <v>Yes</v>
      </c>
    </row>
    <row r="17" spans="1:16" x14ac:dyDescent="0.3">
      <c r="A17" s="2" t="s">
        <v>576</v>
      </c>
      <c r="B17" s="3">
        <v>44719</v>
      </c>
      <c r="C17" s="2" t="s">
        <v>577</v>
      </c>
      <c r="D17" t="s">
        <v>6151</v>
      </c>
      <c r="E17" s="2">
        <v>5</v>
      </c>
      <c r="F17" s="2" t="str">
        <f>_xlfn.XLOOKUP(C17,customers!$A$2:$A$1001,customers!$B$2:$B$1001,,0)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 MATCH(orders!$D17, products!$A$1:$A$49, 0), MATCH(orders!I$1, products!$A$1:$G$1, 0))</f>
        <v>Rob</v>
      </c>
      <c r="J17" t="str">
        <f>INDEX(products!$A$1:$G$49, MATCH(orders!$D17, products!$A$1:$A$49, 0), MATCH(orders!J$1, products!$A$1:$G$1, 0))</f>
        <v>M</v>
      </c>
      <c r="K17" s="5">
        <f>INDEX(products!$A$1:$G$49, MATCH(orders!$D17, products!$A$1:$A$49, 0), MATCH(orders!K$1, products!$A$1:$G$1, 0))</f>
        <v>2.5</v>
      </c>
      <c r="L17" s="6">
        <f>INDEX(products!$A$1:$G$49, MATCH(orders!$D17, products!$A$1:$A$49, 0), MATCH(orders!L$1, products!$A$1:$G$1, 0))</f>
        <v>22.884999999999998</v>
      </c>
      <c r="M17" s="6">
        <f t="shared" si="1"/>
        <v>114.42499999999998</v>
      </c>
      <c r="N17" t="str">
        <f t="shared" si="2"/>
        <v>Robusta</v>
      </c>
      <c r="O17" t="str">
        <f t="shared" si="0"/>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_xlfn.XLOOKUP(C18,customers!$A$2:$A$1001,customers!$B$2:$B$1001,,0)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 MATCH(orders!$D18, products!$A$1:$A$49, 0), MATCH(orders!I$1, products!$A$1:$G$1, 0))</f>
        <v>Ara</v>
      </c>
      <c r="J18" t="str">
        <f>INDEX(products!$A$1:$G$49, MATCH(orders!$D18, products!$A$1:$A$49, 0), MATCH(orders!J$1, products!$A$1:$G$1, 0))</f>
        <v>M</v>
      </c>
      <c r="K18" s="5">
        <f>INDEX(products!$A$1:$G$49, MATCH(orders!$D18, products!$A$1:$A$49, 0), MATCH(orders!K$1, products!$A$1:$G$1, 0))</f>
        <v>0.2</v>
      </c>
      <c r="L18" s="6">
        <f>INDEX(products!$A$1:$G$49, MATCH(orders!$D18, products!$A$1:$A$49, 0), MATCH(orders!L$1, products!$A$1:$G$1, 0))</f>
        <v>3.375</v>
      </c>
      <c r="M18" s="6">
        <f t="shared" si="1"/>
        <v>20.25</v>
      </c>
      <c r="N18" t="str">
        <f t="shared" si="2"/>
        <v>Arabica</v>
      </c>
      <c r="O18" t="str">
        <f t="shared" si="0"/>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_xlfn.XLOOKUP(C19,customers!$A$2:$A$1001,customers!$B$2:$B$1001,,0)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 MATCH(orders!$D19, products!$A$1:$A$49, 0), MATCH(orders!I$1, products!$A$1:$G$1, 0))</f>
        <v>Ara</v>
      </c>
      <c r="J19" t="str">
        <f>INDEX(products!$A$1:$G$49, MATCH(orders!$D19, products!$A$1:$A$49, 0), MATCH(orders!J$1, products!$A$1:$G$1, 0))</f>
        <v>L</v>
      </c>
      <c r="K19" s="5">
        <f>INDEX(products!$A$1:$G$49, MATCH(orders!$D19, products!$A$1:$A$49, 0), MATCH(orders!K$1, products!$A$1:$G$1, 0))</f>
        <v>1</v>
      </c>
      <c r="L19" s="6">
        <f>INDEX(products!$A$1:$G$49, MATCH(orders!$D19, products!$A$1:$A$49, 0), MATCH(orders!L$1, products!$A$1:$G$1, 0))</f>
        <v>12.95</v>
      </c>
      <c r="M19" s="6">
        <f t="shared" si="1"/>
        <v>77.699999999999989</v>
      </c>
      <c r="N19" t="str">
        <f t="shared" si="2"/>
        <v>Arabica</v>
      </c>
      <c r="O19" t="str">
        <f t="shared" si="0"/>
        <v>Light</v>
      </c>
      <c r="P19" t="str">
        <f>_xlfn.XLOOKUP(Orders[[#This Row],[Customer ID]],customers!$A$1:$A$1001,customers!$I$1:$I$1001,,0)</f>
        <v>No</v>
      </c>
    </row>
    <row r="20" spans="1:16" x14ac:dyDescent="0.3">
      <c r="A20" s="2" t="s">
        <v>593</v>
      </c>
      <c r="B20" s="3">
        <v>43629</v>
      </c>
      <c r="C20" s="2" t="s">
        <v>594</v>
      </c>
      <c r="D20" t="s">
        <v>6149</v>
      </c>
      <c r="E20" s="2">
        <v>4</v>
      </c>
      <c r="F20" s="2" t="str">
        <f>_xlfn.XLOOKUP(C20,customers!$A$2:$A$1001,customers!$B$2:$B$1001,,0)</f>
        <v>Pall Redford</v>
      </c>
      <c r="G20" s="2" t="str">
        <f>IF(_xlfn.XLOOKUP(C20,customers!$A$1:$A$1001,customers!$C$1:$C$1001,,0)=0,"",_xlfn.XLOOKUP(C20,customers!$A$1:$A$1001,customers!$C$1:$C$1001,,0))</f>
        <v>predfordi@ow.ly</v>
      </c>
      <c r="H20" s="2" t="str">
        <f>_xlfn.XLOOKUP(C20,customers!$A$1:$A$1001,customers!$G$1:$G$1001,,0)</f>
        <v>Ireland</v>
      </c>
      <c r="I20" t="str">
        <f>INDEX(products!$A$1:$G$49, MATCH(orders!$D20, products!$A$1:$A$49, 0), MATCH(orders!I$1, products!$A$1:$G$1, 0))</f>
        <v>Rob</v>
      </c>
      <c r="J20" t="str">
        <f>INDEX(products!$A$1:$G$49, MATCH(orders!$D20, products!$A$1:$A$49, 0), MATCH(orders!J$1, products!$A$1:$G$1, 0))</f>
        <v>D</v>
      </c>
      <c r="K20" s="5">
        <f>INDEX(products!$A$1:$G$49, MATCH(orders!$D20, products!$A$1:$A$49, 0), MATCH(orders!K$1, products!$A$1:$G$1, 0))</f>
        <v>2.5</v>
      </c>
      <c r="L20" s="6">
        <f>INDEX(products!$A$1:$G$49, MATCH(orders!$D20, products!$A$1:$A$49, 0), MATCH(orders!L$1, products!$A$1:$G$1, 0))</f>
        <v>20.584999999999997</v>
      </c>
      <c r="M20" s="6">
        <f t="shared" si="1"/>
        <v>82.339999999999989</v>
      </c>
      <c r="N20" t="str">
        <f t="shared" si="2"/>
        <v>Robusta</v>
      </c>
      <c r="O20" t="str">
        <f t="shared" si="0"/>
        <v>Dark</v>
      </c>
      <c r="P20" t="str">
        <f>_xlfn.XLOOKUP(Orders[[#This Row],[Customer ID]],customers!$A$1:$A$1001,customers!$I$1:$I$1001,,0)</f>
        <v>Yes</v>
      </c>
    </row>
    <row r="21" spans="1:16" x14ac:dyDescent="0.3">
      <c r="A21" s="2" t="s">
        <v>598</v>
      </c>
      <c r="B21" s="3">
        <v>44169</v>
      </c>
      <c r="C21" s="2" t="s">
        <v>599</v>
      </c>
      <c r="D21" t="s">
        <v>6152</v>
      </c>
      <c r="E21" s="2">
        <v>5</v>
      </c>
      <c r="F21" s="2" t="str">
        <f>_xlfn.XLOOKUP(C21,customers!$A$2:$A$1001,customers!$B$2:$B$1001,,0)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 MATCH(orders!$D21, products!$A$1:$A$49, 0), MATCH(orders!I$1, products!$A$1:$G$1, 0))</f>
        <v>Ara</v>
      </c>
      <c r="J21" t="str">
        <f>INDEX(products!$A$1:$G$49, MATCH(orders!$D21, products!$A$1:$A$49, 0), MATCH(orders!J$1, products!$A$1:$G$1, 0))</f>
        <v>M</v>
      </c>
      <c r="K21" s="5">
        <f>INDEX(products!$A$1:$G$49, MATCH(orders!$D21, products!$A$1:$A$49, 0), MATCH(orders!K$1, products!$A$1:$G$1, 0))</f>
        <v>0.2</v>
      </c>
      <c r="L21" s="6">
        <f>INDEX(products!$A$1:$G$49, MATCH(orders!$D21, products!$A$1:$A$49, 0), MATCH(orders!L$1, products!$A$1:$G$1, 0))</f>
        <v>3.375</v>
      </c>
      <c r="M21" s="6">
        <f t="shared" si="1"/>
        <v>16.875</v>
      </c>
      <c r="N21" t="str">
        <f t="shared" si="2"/>
        <v>Arabica</v>
      </c>
      <c r="O21" t="str">
        <f t="shared" si="0"/>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_xlfn.XLOOKUP(C22,customers!$A$2:$A$1001,customers!$B$2:$B$1001,,0)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 MATCH(orders!$D22, products!$A$1:$A$49, 0), MATCH(orders!I$1, products!$A$1:$G$1, 0))</f>
        <v>Exc</v>
      </c>
      <c r="J22" t="str">
        <f>INDEX(products!$A$1:$G$49, MATCH(orders!$D22, products!$A$1:$A$49, 0), MATCH(orders!J$1, products!$A$1:$G$1, 0))</f>
        <v>D</v>
      </c>
      <c r="K22" s="5">
        <f>INDEX(products!$A$1:$G$49, MATCH(orders!$D22, products!$A$1:$A$49, 0), MATCH(orders!K$1, products!$A$1:$G$1, 0))</f>
        <v>0.2</v>
      </c>
      <c r="L22" s="6">
        <f>INDEX(products!$A$1:$G$49, MATCH(orders!$D22, products!$A$1:$A$49, 0), MATCH(orders!L$1, products!$A$1:$G$1, 0))</f>
        <v>3.645</v>
      </c>
      <c r="M22" s="6">
        <f t="shared" si="1"/>
        <v>14.58</v>
      </c>
      <c r="N22" t="str">
        <f t="shared" si="2"/>
        <v>Excelsa</v>
      </c>
      <c r="O22" t="str">
        <f t="shared" si="0"/>
        <v>Dark</v>
      </c>
      <c r="P22" t="str">
        <f>_xlfn.XLOOKUP(Orders[[#This Row],[Customer ID]],customers!$A$1:$A$1001,customers!$I$1:$I$1001,,0)</f>
        <v>Yes</v>
      </c>
    </row>
    <row r="23" spans="1:16" x14ac:dyDescent="0.3">
      <c r="A23" s="2" t="s">
        <v>608</v>
      </c>
      <c r="B23" s="3">
        <v>44169</v>
      </c>
      <c r="C23" s="2" t="s">
        <v>609</v>
      </c>
      <c r="D23" t="s">
        <v>6154</v>
      </c>
      <c r="E23" s="2">
        <v>6</v>
      </c>
      <c r="F23" s="2" t="str">
        <f>_xlfn.XLOOKUP(C23,customers!$A$2:$A$1001,customers!$B$2:$B$1001,,0)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 MATCH(orders!$D23, products!$A$1:$A$49, 0), MATCH(orders!I$1, products!$A$1:$G$1, 0))</f>
        <v>Ara</v>
      </c>
      <c r="J23" t="str">
        <f>INDEX(products!$A$1:$G$49, MATCH(orders!$D23, products!$A$1:$A$49, 0), MATCH(orders!J$1, products!$A$1:$G$1, 0))</f>
        <v>D</v>
      </c>
      <c r="K23" s="5">
        <f>INDEX(products!$A$1:$G$49, MATCH(orders!$D23, products!$A$1:$A$49, 0), MATCH(orders!K$1, products!$A$1:$G$1, 0))</f>
        <v>0.2</v>
      </c>
      <c r="L23" s="6">
        <f>INDEX(products!$A$1:$G$49, MATCH(orders!$D23, products!$A$1:$A$49, 0), MATCH(orders!L$1, products!$A$1:$G$1, 0))</f>
        <v>2.9849999999999999</v>
      </c>
      <c r="M23" s="6">
        <f t="shared" si="1"/>
        <v>17.91</v>
      </c>
      <c r="N23" t="str">
        <f t="shared" si="2"/>
        <v>Arabica</v>
      </c>
      <c r="O23" t="str">
        <f t="shared" si="0"/>
        <v>Dark</v>
      </c>
      <c r="P23" t="str">
        <f>_xlfn.XLOOKUP(Orders[[#This Row],[Customer ID]],customers!$A$1:$A$1001,customers!$I$1:$I$1001,,0)</f>
        <v>No</v>
      </c>
    </row>
    <row r="24" spans="1:16" x14ac:dyDescent="0.3">
      <c r="A24" s="2" t="s">
        <v>614</v>
      </c>
      <c r="B24" s="3">
        <v>44218</v>
      </c>
      <c r="C24" s="2" t="s">
        <v>615</v>
      </c>
      <c r="D24" t="s">
        <v>6151</v>
      </c>
      <c r="E24" s="2">
        <v>4</v>
      </c>
      <c r="F24" s="2" t="str">
        <f>_xlfn.XLOOKUP(C24,customers!$A$2:$A$1001,customers!$B$2:$B$1001,,0)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 MATCH(orders!$D24, products!$A$1:$A$49, 0), MATCH(orders!I$1, products!$A$1:$G$1, 0))</f>
        <v>Rob</v>
      </c>
      <c r="J24" t="str">
        <f>INDEX(products!$A$1:$G$49, MATCH(orders!$D24, products!$A$1:$A$49, 0), MATCH(orders!J$1, products!$A$1:$G$1, 0))</f>
        <v>M</v>
      </c>
      <c r="K24" s="5">
        <f>INDEX(products!$A$1:$G$49, MATCH(orders!$D24, products!$A$1:$A$49, 0), MATCH(orders!K$1, products!$A$1:$G$1, 0))</f>
        <v>2.5</v>
      </c>
      <c r="L24" s="6">
        <f>INDEX(products!$A$1:$G$49, MATCH(orders!$D24, products!$A$1:$A$49, 0), MATCH(orders!L$1, products!$A$1:$G$1, 0))</f>
        <v>22.884999999999998</v>
      </c>
      <c r="M24" s="6">
        <f t="shared" si="1"/>
        <v>91.539999999999992</v>
      </c>
      <c r="N24" t="str">
        <f t="shared" si="2"/>
        <v>Robusta</v>
      </c>
      <c r="O24" t="str">
        <f t="shared" si="0"/>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_xlfn.XLOOKUP(C25,customers!$A$2:$A$1001,customers!$B$2:$B$1001,,0)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 MATCH(orders!$D25, products!$A$1:$A$49, 0), MATCH(orders!I$1, products!$A$1:$G$1, 0))</f>
        <v>Ara</v>
      </c>
      <c r="J25" t="str">
        <f>INDEX(products!$A$1:$G$49, MATCH(orders!$D25, products!$A$1:$A$49, 0), MATCH(orders!J$1, products!$A$1:$G$1, 0))</f>
        <v>D</v>
      </c>
      <c r="K25" s="5">
        <f>INDEX(products!$A$1:$G$49, MATCH(orders!$D25, products!$A$1:$A$49, 0), MATCH(orders!K$1, products!$A$1:$G$1, 0))</f>
        <v>0.2</v>
      </c>
      <c r="L25" s="6">
        <f>INDEX(products!$A$1:$G$49, MATCH(orders!$D25, products!$A$1:$A$49, 0), MATCH(orders!L$1, products!$A$1:$G$1, 0))</f>
        <v>2.9849999999999999</v>
      </c>
      <c r="M25" s="6">
        <f t="shared" si="1"/>
        <v>11.94</v>
      </c>
      <c r="N25" t="str">
        <f t="shared" si="2"/>
        <v>Arabica</v>
      </c>
      <c r="O25" t="str">
        <f t="shared" si="0"/>
        <v>Dark</v>
      </c>
      <c r="P25" t="str">
        <f>_xlfn.XLOOKUP(Orders[[#This Row],[Customer ID]],customers!$A$1:$A$1001,customers!$I$1:$I$1001,,0)</f>
        <v>Yes</v>
      </c>
    </row>
    <row r="26" spans="1:16" x14ac:dyDescent="0.3">
      <c r="A26" s="2" t="s">
        <v>626</v>
      </c>
      <c r="B26" s="3">
        <v>44454</v>
      </c>
      <c r="C26" s="2" t="s">
        <v>627</v>
      </c>
      <c r="D26" t="s">
        <v>6155</v>
      </c>
      <c r="E26" s="2">
        <v>1</v>
      </c>
      <c r="F26" s="2" t="str">
        <f>_xlfn.XLOOKUP(C26,customers!$A$2:$A$1001,customers!$B$2:$B$1001,,0)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 MATCH(orders!$D26, products!$A$1:$A$49, 0), MATCH(orders!I$1, products!$A$1:$G$1, 0))</f>
        <v>Ara</v>
      </c>
      <c r="J26" t="str">
        <f>INDEX(products!$A$1:$G$49, MATCH(orders!$D26, products!$A$1:$A$49, 0), MATCH(orders!J$1, products!$A$1:$G$1, 0))</f>
        <v>M</v>
      </c>
      <c r="K26" s="5">
        <f>INDEX(products!$A$1:$G$49, MATCH(orders!$D26, products!$A$1:$A$49, 0), MATCH(orders!K$1, products!$A$1:$G$1, 0))</f>
        <v>1</v>
      </c>
      <c r="L26" s="6">
        <f>INDEX(products!$A$1:$G$49, MATCH(orders!$D26, products!$A$1:$A$49, 0), MATCH(orders!L$1, products!$A$1:$G$1, 0))</f>
        <v>11.25</v>
      </c>
      <c r="M26" s="6">
        <f t="shared" si="1"/>
        <v>11.25</v>
      </c>
      <c r="N26" t="str">
        <f t="shared" si="2"/>
        <v>Arabica</v>
      </c>
      <c r="O26" t="str">
        <f t="shared" si="0"/>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_xlfn.XLOOKUP(C27,customers!$A$2:$A$1001,customers!$B$2:$B$1001,,0)</f>
        <v>Culley Farris</v>
      </c>
      <c r="G27" s="2" t="str">
        <f>IF(_xlfn.XLOOKUP(C27,customers!$A$1:$A$1001,customers!$C$1:$C$1001,,0)=0,"",_xlfn.XLOOKUP(C27,customers!$A$1:$A$1001,customers!$C$1:$C$1001,,0))</f>
        <v/>
      </c>
      <c r="H27" s="2" t="str">
        <f>_xlfn.XLOOKUP(C27,customers!$A$1:$A$1001,customers!$G$1:$G$1001,,0)</f>
        <v>United States</v>
      </c>
      <c r="I27" t="str">
        <f>INDEX(products!$A$1:$G$49, MATCH(orders!$D27, products!$A$1:$A$49, 0), MATCH(orders!I$1, products!$A$1:$G$1, 0))</f>
        <v>Exc</v>
      </c>
      <c r="J27" t="str">
        <f>INDEX(products!$A$1:$G$49, MATCH(orders!$D27, products!$A$1:$A$49, 0), MATCH(orders!J$1, products!$A$1:$G$1, 0))</f>
        <v>M</v>
      </c>
      <c r="K27" s="5">
        <f>INDEX(products!$A$1:$G$49, MATCH(orders!$D27, products!$A$1:$A$49, 0), MATCH(orders!K$1, products!$A$1:$G$1, 0))</f>
        <v>0.2</v>
      </c>
      <c r="L27" s="6">
        <f>INDEX(products!$A$1:$G$49, MATCH(orders!$D27, products!$A$1:$A$49, 0), MATCH(orders!L$1, products!$A$1:$G$1, 0))</f>
        <v>4.125</v>
      </c>
      <c r="M27" s="6">
        <f t="shared" si="1"/>
        <v>12.375</v>
      </c>
      <c r="N27" t="str">
        <f t="shared" si="2"/>
        <v>Excelsa</v>
      </c>
      <c r="O27" t="str">
        <f t="shared" si="0"/>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_xlfn.XLOOKUP(C28,customers!$A$2:$A$1001,customers!$B$2:$B$1001,,0)</f>
        <v>Selene Shales</v>
      </c>
      <c r="G28" s="2" t="str">
        <f>IF(_xlfn.XLOOKUP(C28,customers!$A$1:$A$1001,customers!$C$1:$C$1001,,0)=0,"",_xlfn.XLOOKUP(C28,customers!$A$1:$A$1001,customers!$C$1:$C$1001,,0))</f>
        <v>sshalesq@umich.edu</v>
      </c>
      <c r="H28" s="2" t="str">
        <f>_xlfn.XLOOKUP(C28,customers!$A$1:$A$1001,customers!$G$1:$G$1001,,0)</f>
        <v>United States</v>
      </c>
      <c r="I28" t="str">
        <f>INDEX(products!$A$1:$G$49, MATCH(orders!$D28, products!$A$1:$A$49, 0), MATCH(orders!I$1, products!$A$1:$G$1, 0))</f>
        <v>Ara</v>
      </c>
      <c r="J28" t="str">
        <f>INDEX(products!$A$1:$G$49, MATCH(orders!$D28, products!$A$1:$A$49, 0), MATCH(orders!J$1, products!$A$1:$G$1, 0))</f>
        <v>M</v>
      </c>
      <c r="K28" s="5">
        <f>INDEX(products!$A$1:$G$49, MATCH(orders!$D28, products!$A$1:$A$49, 0), MATCH(orders!K$1, products!$A$1:$G$1, 0))</f>
        <v>0.5</v>
      </c>
      <c r="L28" s="6">
        <f>INDEX(products!$A$1:$G$49, MATCH(orders!$D28, products!$A$1:$A$49, 0), MATCH(orders!L$1, products!$A$1:$G$1, 0))</f>
        <v>6.75</v>
      </c>
      <c r="M28" s="6">
        <f t="shared" si="1"/>
        <v>27</v>
      </c>
      <c r="N28" t="str">
        <f t="shared" si="2"/>
        <v>Arabica</v>
      </c>
      <c r="O28" t="str">
        <f t="shared" si="0"/>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_xlfn.XLOOKUP(C29,customers!$A$2:$A$1001,customers!$B$2:$B$1001,,0)</f>
        <v>Vivie Danneil</v>
      </c>
      <c r="G29" s="2" t="str">
        <f>IF(_xlfn.XLOOKUP(C29,customers!$A$1:$A$1001,customers!$C$1:$C$1001,,0)=0,"",_xlfn.XLOOKUP(C29,customers!$A$1:$A$1001,customers!$C$1:$C$1001,,0))</f>
        <v>vdanneilr@mtv.com</v>
      </c>
      <c r="H29" s="2" t="str">
        <f>_xlfn.XLOOKUP(C29,customers!$A$1:$A$1001,customers!$G$1:$G$1001,,0)</f>
        <v>Ireland</v>
      </c>
      <c r="I29" t="str">
        <f>INDEX(products!$A$1:$G$49, MATCH(orders!$D29, products!$A$1:$A$49, 0), MATCH(orders!I$1, products!$A$1:$G$1, 0))</f>
        <v>Ara</v>
      </c>
      <c r="J29" t="str">
        <f>INDEX(products!$A$1:$G$49, MATCH(orders!$D29, products!$A$1:$A$49, 0), MATCH(orders!J$1, products!$A$1:$G$1, 0))</f>
        <v>M</v>
      </c>
      <c r="K29" s="5">
        <f>INDEX(products!$A$1:$G$49, MATCH(orders!$D29, products!$A$1:$A$49, 0), MATCH(orders!K$1, products!$A$1:$G$1, 0))</f>
        <v>0.2</v>
      </c>
      <c r="L29" s="6">
        <f>INDEX(products!$A$1:$G$49, MATCH(orders!$D29, products!$A$1:$A$49, 0), MATCH(orders!L$1, products!$A$1:$G$1, 0))</f>
        <v>3.375</v>
      </c>
      <c r="M29" s="6">
        <f t="shared" si="1"/>
        <v>16.875</v>
      </c>
      <c r="N29" t="str">
        <f t="shared" si="2"/>
        <v>Arabica</v>
      </c>
      <c r="O29" t="str">
        <f t="shared" si="0"/>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_xlfn.XLOOKUP(C30,customers!$A$2:$A$1001,customers!$B$2:$B$1001,,0)</f>
        <v>Theresita Newbury</v>
      </c>
      <c r="G30" s="2" t="str">
        <f>IF(_xlfn.XLOOKUP(C30,customers!$A$1:$A$1001,customers!$C$1:$C$1001,,0)=0,"",_xlfn.XLOOKUP(C30,customers!$A$1:$A$1001,customers!$C$1:$C$1001,,0))</f>
        <v>tnewburys@usda.gov</v>
      </c>
      <c r="H30" s="2" t="str">
        <f>_xlfn.XLOOKUP(C30,customers!$A$1:$A$1001,customers!$G$1:$G$1001,,0)</f>
        <v>Ireland</v>
      </c>
      <c r="I30" t="str">
        <f>INDEX(products!$A$1:$G$49, MATCH(orders!$D30, products!$A$1:$A$49, 0), MATCH(orders!I$1, products!$A$1:$G$1, 0))</f>
        <v>Ara</v>
      </c>
      <c r="J30" t="str">
        <f>INDEX(products!$A$1:$G$49, MATCH(orders!$D30, products!$A$1:$A$49, 0), MATCH(orders!J$1, products!$A$1:$G$1, 0))</f>
        <v>D</v>
      </c>
      <c r="K30" s="5">
        <f>INDEX(products!$A$1:$G$49, MATCH(orders!$D30, products!$A$1:$A$49, 0), MATCH(orders!K$1, products!$A$1:$G$1, 0))</f>
        <v>0.5</v>
      </c>
      <c r="L30" s="6">
        <f>INDEX(products!$A$1:$G$49, MATCH(orders!$D30, products!$A$1:$A$49, 0), MATCH(orders!L$1, products!$A$1:$G$1, 0))</f>
        <v>5.97</v>
      </c>
      <c r="M30" s="6">
        <f t="shared" si="1"/>
        <v>17.91</v>
      </c>
      <c r="N30" t="str">
        <f t="shared" si="2"/>
        <v>Arabica</v>
      </c>
      <c r="O30" t="str">
        <f t="shared" si="0"/>
        <v>Dark</v>
      </c>
      <c r="P30" t="str">
        <f>_xlfn.XLOOKUP(Orders[[#This Row],[Customer ID]],customers!$A$1:$A$1001,customers!$I$1:$I$1001,,0)</f>
        <v>No</v>
      </c>
    </row>
    <row r="31" spans="1:16" x14ac:dyDescent="0.3">
      <c r="A31" s="2" t="s">
        <v>655</v>
      </c>
      <c r="B31" s="3">
        <v>43516</v>
      </c>
      <c r="C31" s="2" t="s">
        <v>656</v>
      </c>
      <c r="D31" t="s">
        <v>6147</v>
      </c>
      <c r="E31" s="2">
        <v>4</v>
      </c>
      <c r="F31" s="2" t="str">
        <f>_xlfn.XLOOKUP(C31,customers!$A$2:$A$1001,customers!$B$2:$B$1001,,0)</f>
        <v>Mozelle Calcutt</v>
      </c>
      <c r="G31" s="2" t="str">
        <f>IF(_xlfn.XLOOKUP(C31,customers!$A$1:$A$1001,customers!$C$1:$C$1001,,0)=0,"",_xlfn.XLOOKUP(C31,customers!$A$1:$A$1001,customers!$C$1:$C$1001,,0))</f>
        <v>mcalcuttt@baidu.com</v>
      </c>
      <c r="H31" s="2" t="str">
        <f>_xlfn.XLOOKUP(C31,customers!$A$1:$A$1001,customers!$G$1:$G$1001,,0)</f>
        <v>Ireland</v>
      </c>
      <c r="I31" t="str">
        <f>INDEX(products!$A$1:$G$49, MATCH(orders!$D31, products!$A$1:$A$49, 0), MATCH(orders!I$1, products!$A$1:$G$1, 0))</f>
        <v>Ara</v>
      </c>
      <c r="J31" t="str">
        <f>INDEX(products!$A$1:$G$49, MATCH(orders!$D31, products!$A$1:$A$49, 0), MATCH(orders!J$1, products!$A$1:$G$1, 0))</f>
        <v>D</v>
      </c>
      <c r="K31" s="5">
        <f>INDEX(products!$A$1:$G$49, MATCH(orders!$D31, products!$A$1:$A$49, 0), MATCH(orders!K$1, products!$A$1:$G$1, 0))</f>
        <v>1</v>
      </c>
      <c r="L31" s="6">
        <f>INDEX(products!$A$1:$G$49, MATCH(orders!$D31, products!$A$1:$A$49, 0), MATCH(orders!L$1, products!$A$1:$G$1, 0))</f>
        <v>9.9499999999999993</v>
      </c>
      <c r="M31" s="6">
        <f t="shared" si="1"/>
        <v>39.799999999999997</v>
      </c>
      <c r="N31" t="str">
        <f t="shared" si="2"/>
        <v>Arabica</v>
      </c>
      <c r="O31" t="str">
        <f t="shared" si="0"/>
        <v>Dark</v>
      </c>
      <c r="P31" t="str">
        <f>_xlfn.XLOOKUP(Orders[[#This Row],[Customer ID]],customers!$A$1:$A$1001,customers!$I$1:$I$1001,,0)</f>
        <v>Yes</v>
      </c>
    </row>
    <row r="32" spans="1:16" x14ac:dyDescent="0.3">
      <c r="A32" s="2" t="s">
        <v>661</v>
      </c>
      <c r="B32" s="3">
        <v>44464</v>
      </c>
      <c r="C32" s="2" t="s">
        <v>662</v>
      </c>
      <c r="D32" t="s">
        <v>6159</v>
      </c>
      <c r="E32" s="2">
        <v>5</v>
      </c>
      <c r="F32" s="2" t="str">
        <f>_xlfn.XLOOKUP(C32,customers!$A$2:$A$1001,customers!$B$2:$B$1001,,0)</f>
        <v>Adrian Swaine</v>
      </c>
      <c r="G32" s="2" t="str">
        <f>IF(_xlfn.XLOOKUP(C32,customers!$A$1:$A$1001,customers!$C$1:$C$1001,,0)=0,"",_xlfn.XLOOKUP(C32,customers!$A$1:$A$1001,customers!$C$1:$C$1001,,0))</f>
        <v/>
      </c>
      <c r="H32" s="2" t="str">
        <f>_xlfn.XLOOKUP(C32,customers!$A$1:$A$1001,customers!$G$1:$G$1001,,0)</f>
        <v>United States</v>
      </c>
      <c r="I32" t="str">
        <f>INDEX(products!$A$1:$G$49, MATCH(orders!$D32, products!$A$1:$A$49, 0), MATCH(orders!I$1, products!$A$1:$G$1, 0))</f>
        <v>Lib</v>
      </c>
      <c r="J32" t="str">
        <f>INDEX(products!$A$1:$G$49, MATCH(orders!$D32, products!$A$1:$A$49, 0), MATCH(orders!J$1, products!$A$1:$G$1, 0))</f>
        <v>M</v>
      </c>
      <c r="K32" s="5">
        <f>INDEX(products!$A$1:$G$49, MATCH(orders!$D32, products!$A$1:$A$49, 0), MATCH(orders!K$1, products!$A$1:$G$1, 0))</f>
        <v>0.2</v>
      </c>
      <c r="L32" s="6">
        <f>INDEX(products!$A$1:$G$49, MATCH(orders!$D32, products!$A$1:$A$49, 0), MATCH(orders!L$1, products!$A$1:$G$1, 0))</f>
        <v>4.3650000000000002</v>
      </c>
      <c r="M32" s="6">
        <f t="shared" si="1"/>
        <v>21.825000000000003</v>
      </c>
      <c r="N32" t="str">
        <f t="shared" si="2"/>
        <v>Liberica</v>
      </c>
      <c r="O32" t="str">
        <f t="shared" si="0"/>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_xlfn.XLOOKUP(C33,customers!$A$2:$A$1001,customers!$B$2:$B$1001,,0)</f>
        <v>Adrian Swaine</v>
      </c>
      <c r="G33" s="2" t="str">
        <f>IF(_xlfn.XLOOKUP(C33,customers!$A$1:$A$1001,customers!$C$1:$C$1001,,0)=0,"",_xlfn.XLOOKUP(C33,customers!$A$1:$A$1001,customers!$C$1:$C$1001,,0))</f>
        <v/>
      </c>
      <c r="H33" s="2" t="str">
        <f>_xlfn.XLOOKUP(C33,customers!$A$1:$A$1001,customers!$G$1:$G$1001,,0)</f>
        <v>United States</v>
      </c>
      <c r="I33" t="str">
        <f>INDEX(products!$A$1:$G$49, MATCH(orders!$D33, products!$A$1:$A$49, 0), MATCH(orders!I$1, products!$A$1:$G$1, 0))</f>
        <v>Ara</v>
      </c>
      <c r="J33" t="str">
        <f>INDEX(products!$A$1:$G$49, MATCH(orders!$D33, products!$A$1:$A$49, 0), MATCH(orders!J$1, products!$A$1:$G$1, 0))</f>
        <v>D</v>
      </c>
      <c r="K33" s="5">
        <f>INDEX(products!$A$1:$G$49, MATCH(orders!$D33, products!$A$1:$A$49, 0), MATCH(orders!K$1, products!$A$1:$G$1, 0))</f>
        <v>0.5</v>
      </c>
      <c r="L33" s="6">
        <f>INDEX(products!$A$1:$G$49, MATCH(orders!$D33, products!$A$1:$A$49, 0), MATCH(orders!L$1, products!$A$1:$G$1, 0))</f>
        <v>5.97</v>
      </c>
      <c r="M33" s="6">
        <f t="shared" si="1"/>
        <v>35.82</v>
      </c>
      <c r="N33" t="str">
        <f t="shared" si="2"/>
        <v>Arabica</v>
      </c>
      <c r="O33" t="str">
        <f t="shared" si="0"/>
        <v>Dark</v>
      </c>
      <c r="P33" t="str">
        <f>_xlfn.XLOOKUP(Orders[[#This Row],[Customer ID]],customers!$A$1:$A$1001,customers!$I$1:$I$1001,,0)</f>
        <v>No</v>
      </c>
    </row>
    <row r="34" spans="1:16" x14ac:dyDescent="0.3">
      <c r="A34" s="2" t="s">
        <v>661</v>
      </c>
      <c r="B34" s="3">
        <v>44464</v>
      </c>
      <c r="C34" s="2" t="s">
        <v>662</v>
      </c>
      <c r="D34" t="s">
        <v>6160</v>
      </c>
      <c r="E34" s="2">
        <v>6</v>
      </c>
      <c r="F34" s="2" t="str">
        <f>_xlfn.XLOOKUP(C34,customers!$A$2:$A$1001,customers!$B$2:$B$1001,,0)</f>
        <v>Adrian Swaine</v>
      </c>
      <c r="G34" s="2" t="str">
        <f>IF(_xlfn.XLOOKUP(C34,customers!$A$1:$A$1001,customers!$C$1:$C$1001,,0)=0,"",_xlfn.XLOOKUP(C34,customers!$A$1:$A$1001,customers!$C$1:$C$1001,,0))</f>
        <v/>
      </c>
      <c r="H34" s="2" t="str">
        <f>_xlfn.XLOOKUP(C34,customers!$A$1:$A$1001,customers!$G$1:$G$1001,,0)</f>
        <v>United States</v>
      </c>
      <c r="I34" t="str">
        <f>INDEX(products!$A$1:$G$49, MATCH(orders!$D34, products!$A$1:$A$49, 0), MATCH(orders!I$1, products!$A$1:$G$1, 0))</f>
        <v>Lib</v>
      </c>
      <c r="J34" t="str">
        <f>INDEX(products!$A$1:$G$49, MATCH(orders!$D34, products!$A$1:$A$49, 0), MATCH(orders!J$1, products!$A$1:$G$1, 0))</f>
        <v>M</v>
      </c>
      <c r="K34" s="5">
        <f>INDEX(products!$A$1:$G$49, MATCH(orders!$D34, products!$A$1:$A$49, 0), MATCH(orders!K$1, products!$A$1:$G$1, 0))</f>
        <v>0.5</v>
      </c>
      <c r="L34" s="6">
        <f>INDEX(products!$A$1:$G$49, MATCH(orders!$D34, products!$A$1:$A$49, 0), MATCH(orders!L$1, products!$A$1:$G$1, 0))</f>
        <v>8.73</v>
      </c>
      <c r="M34" s="6">
        <f t="shared" si="1"/>
        <v>52.38</v>
      </c>
      <c r="N34" t="str">
        <f t="shared" si="2"/>
        <v>Liberica</v>
      </c>
      <c r="O34" t="str">
        <f t="shared" si="0"/>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_xlfn.XLOOKUP(C35,customers!$A$2:$A$1001,customers!$B$2:$B$1001,,0)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 MATCH(orders!$D35, products!$A$1:$A$49, 0), MATCH(orders!I$1, products!$A$1:$G$1, 0))</f>
        <v>Lib</v>
      </c>
      <c r="J35" t="str">
        <f>INDEX(products!$A$1:$G$49, MATCH(orders!$D35, products!$A$1:$A$49, 0), MATCH(orders!J$1, products!$A$1:$G$1, 0))</f>
        <v>L</v>
      </c>
      <c r="K35" s="5">
        <f>INDEX(products!$A$1:$G$49, MATCH(orders!$D35, products!$A$1:$A$49, 0), MATCH(orders!K$1, products!$A$1:$G$1, 0))</f>
        <v>0.2</v>
      </c>
      <c r="L35" s="6">
        <f>INDEX(products!$A$1:$G$49, MATCH(orders!$D35, products!$A$1:$A$49, 0), MATCH(orders!L$1, products!$A$1:$G$1, 0))</f>
        <v>4.7549999999999999</v>
      </c>
      <c r="M35" s="6">
        <f t="shared" si="1"/>
        <v>23.774999999999999</v>
      </c>
      <c r="N35" t="str">
        <f t="shared" si="2"/>
        <v>Liberica</v>
      </c>
      <c r="O35" t="str">
        <f t="shared" si="0"/>
        <v>Light</v>
      </c>
      <c r="P35" t="str">
        <f>_xlfn.XLOOKUP(Orders[[#This Row],[Customer ID]],customers!$A$1:$A$1001,customers!$I$1:$I$1001,,0)</f>
        <v>No</v>
      </c>
    </row>
    <row r="36" spans="1:16" x14ac:dyDescent="0.3">
      <c r="A36" s="2" t="s">
        <v>681</v>
      </c>
      <c r="B36" s="3">
        <v>44011</v>
      </c>
      <c r="C36" s="2" t="s">
        <v>682</v>
      </c>
      <c r="D36" t="s">
        <v>6161</v>
      </c>
      <c r="E36" s="2">
        <v>6</v>
      </c>
      <c r="F36" s="2" t="str">
        <f>_xlfn.XLOOKUP(C36,customers!$A$2:$A$1001,customers!$B$2:$B$1001,,0)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 MATCH(orders!$D36, products!$A$1:$A$49, 0), MATCH(orders!I$1, products!$A$1:$G$1, 0))</f>
        <v>Lib</v>
      </c>
      <c r="J36" t="str">
        <f>INDEX(products!$A$1:$G$49, MATCH(orders!$D36, products!$A$1:$A$49, 0), MATCH(orders!J$1, products!$A$1:$G$1, 0))</f>
        <v>L</v>
      </c>
      <c r="K36" s="5">
        <f>INDEX(products!$A$1:$G$49, MATCH(orders!$D36, products!$A$1:$A$49, 0), MATCH(orders!K$1, products!$A$1:$G$1, 0))</f>
        <v>0.5</v>
      </c>
      <c r="L36" s="6">
        <f>INDEX(products!$A$1:$G$49, MATCH(orders!$D36, products!$A$1:$A$49, 0), MATCH(orders!L$1, products!$A$1:$G$1, 0))</f>
        <v>9.51</v>
      </c>
      <c r="M36" s="6">
        <f t="shared" si="1"/>
        <v>57.06</v>
      </c>
      <c r="N36" t="str">
        <f t="shared" si="2"/>
        <v>Liberica</v>
      </c>
      <c r="O36" t="str">
        <f t="shared" si="0"/>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_xlfn.XLOOKUP(C37,customers!$A$2:$A$1001,customers!$B$2:$B$1001,,0)</f>
        <v>Faber Eilhart</v>
      </c>
      <c r="G37" s="2" t="str">
        <f>IF(_xlfn.XLOOKUP(C37,customers!$A$1:$A$1001,customers!$C$1:$C$1001,,0)=0,"",_xlfn.XLOOKUP(C37,customers!$A$1:$A$1001,customers!$C$1:$C$1001,,0))</f>
        <v>feilhartz@who.int</v>
      </c>
      <c r="H37" s="2" t="str">
        <f>_xlfn.XLOOKUP(C37,customers!$A$1:$A$1001,customers!$G$1:$G$1001,,0)</f>
        <v>United States</v>
      </c>
      <c r="I37" t="str">
        <f>INDEX(products!$A$1:$G$49, MATCH(orders!$D37, products!$A$1:$A$49, 0), MATCH(orders!I$1, products!$A$1:$G$1, 0))</f>
        <v>Ara</v>
      </c>
      <c r="J37" t="str">
        <f>INDEX(products!$A$1:$G$49, MATCH(orders!$D37, products!$A$1:$A$49, 0), MATCH(orders!J$1, products!$A$1:$G$1, 0))</f>
        <v>D</v>
      </c>
      <c r="K37" s="5">
        <f>INDEX(products!$A$1:$G$49, MATCH(orders!$D37, products!$A$1:$A$49, 0), MATCH(orders!K$1, products!$A$1:$G$1, 0))</f>
        <v>0.5</v>
      </c>
      <c r="L37" s="6">
        <f>INDEX(products!$A$1:$G$49, MATCH(orders!$D37, products!$A$1:$A$49, 0), MATCH(orders!L$1, products!$A$1:$G$1, 0))</f>
        <v>5.97</v>
      </c>
      <c r="M37" s="6">
        <f t="shared" si="1"/>
        <v>35.82</v>
      </c>
      <c r="N37" t="str">
        <f t="shared" si="2"/>
        <v>Arabica</v>
      </c>
      <c r="O37" t="str">
        <f t="shared" si="0"/>
        <v>Dark</v>
      </c>
      <c r="P37" t="str">
        <f>_xlfn.XLOOKUP(Orders[[#This Row],[Customer ID]],customers!$A$1:$A$1001,customers!$I$1:$I$1001,,0)</f>
        <v>No</v>
      </c>
    </row>
    <row r="38" spans="1:16" x14ac:dyDescent="0.3">
      <c r="A38" s="2" t="s">
        <v>693</v>
      </c>
      <c r="B38" s="3">
        <v>44233</v>
      </c>
      <c r="C38" s="2" t="s">
        <v>694</v>
      </c>
      <c r="D38" t="s">
        <v>6159</v>
      </c>
      <c r="E38" s="2">
        <v>2</v>
      </c>
      <c r="F38" s="2" t="str">
        <f>_xlfn.XLOOKUP(C38,customers!$A$2:$A$1001,customers!$B$2:$B$1001,,0)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 MATCH(orders!$D38, products!$A$1:$A$49, 0), MATCH(orders!I$1, products!$A$1:$G$1, 0))</f>
        <v>Lib</v>
      </c>
      <c r="J38" t="str">
        <f>INDEX(products!$A$1:$G$49, MATCH(orders!$D38, products!$A$1:$A$49, 0), MATCH(orders!J$1, products!$A$1:$G$1, 0))</f>
        <v>M</v>
      </c>
      <c r="K38" s="5">
        <f>INDEX(products!$A$1:$G$49, MATCH(orders!$D38, products!$A$1:$A$49, 0), MATCH(orders!K$1, products!$A$1:$G$1, 0))</f>
        <v>0.2</v>
      </c>
      <c r="L38" s="6">
        <f>INDEX(products!$A$1:$G$49, MATCH(orders!$D38, products!$A$1:$A$49, 0), MATCH(orders!L$1, products!$A$1:$G$1, 0))</f>
        <v>4.3650000000000002</v>
      </c>
      <c r="M38" s="6">
        <f t="shared" si="1"/>
        <v>8.73</v>
      </c>
      <c r="N38" t="str">
        <f t="shared" si="2"/>
        <v>Liberica</v>
      </c>
      <c r="O38" t="str">
        <f t="shared" si="0"/>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_xlfn.XLOOKUP(C39,customers!$A$2:$A$1001,customers!$B$2:$B$1001,,0)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 MATCH(orders!$D39, products!$A$1:$A$49, 0), MATCH(orders!I$1, products!$A$1:$G$1, 0))</f>
        <v>Lib</v>
      </c>
      <c r="J39" t="str">
        <f>INDEX(products!$A$1:$G$49, MATCH(orders!$D39, products!$A$1:$A$49, 0), MATCH(orders!J$1, products!$A$1:$G$1, 0))</f>
        <v>L</v>
      </c>
      <c r="K39" s="5">
        <f>INDEX(products!$A$1:$G$49, MATCH(orders!$D39, products!$A$1:$A$49, 0), MATCH(orders!K$1, products!$A$1:$G$1, 0))</f>
        <v>0.5</v>
      </c>
      <c r="L39" s="6">
        <f>INDEX(products!$A$1:$G$49, MATCH(orders!$D39, products!$A$1:$A$49, 0), MATCH(orders!L$1, products!$A$1:$G$1, 0))</f>
        <v>9.51</v>
      </c>
      <c r="M39" s="6">
        <f t="shared" si="1"/>
        <v>28.53</v>
      </c>
      <c r="N39" t="str">
        <f t="shared" si="2"/>
        <v>Liberica</v>
      </c>
      <c r="O39" t="str">
        <f t="shared" si="0"/>
        <v>Light</v>
      </c>
      <c r="P39" t="str">
        <f>_xlfn.XLOOKUP(Orders[[#This Row],[Customer ID]],customers!$A$1:$A$1001,customers!$I$1:$I$1001,,0)</f>
        <v>No</v>
      </c>
    </row>
    <row r="40" spans="1:16" x14ac:dyDescent="0.3">
      <c r="A40" s="2" t="s">
        <v>705</v>
      </c>
      <c r="B40" s="3">
        <v>43946</v>
      </c>
      <c r="C40" s="2" t="s">
        <v>706</v>
      </c>
      <c r="D40" t="s">
        <v>6151</v>
      </c>
      <c r="E40" s="2">
        <v>5</v>
      </c>
      <c r="F40" s="2" t="str">
        <f>_xlfn.XLOOKUP(C40,customers!$A$2:$A$1001,customers!$B$2:$B$1001,,0)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 MATCH(orders!$D40, products!$A$1:$A$49, 0), MATCH(orders!I$1, products!$A$1:$G$1, 0))</f>
        <v>Rob</v>
      </c>
      <c r="J40" t="str">
        <f>INDEX(products!$A$1:$G$49, MATCH(orders!$D40, products!$A$1:$A$49, 0), MATCH(orders!J$1, products!$A$1:$G$1, 0))</f>
        <v>M</v>
      </c>
      <c r="K40" s="5">
        <f>INDEX(products!$A$1:$G$49, MATCH(orders!$D40, products!$A$1:$A$49, 0), MATCH(orders!K$1, products!$A$1:$G$1, 0))</f>
        <v>2.5</v>
      </c>
      <c r="L40" s="6">
        <f>INDEX(products!$A$1:$G$49, MATCH(orders!$D40, products!$A$1:$A$49, 0), MATCH(orders!L$1, products!$A$1:$G$1, 0))</f>
        <v>22.884999999999998</v>
      </c>
      <c r="M40" s="6">
        <f t="shared" si="1"/>
        <v>114.42499999999998</v>
      </c>
      <c r="N40" t="str">
        <f t="shared" si="2"/>
        <v>Robusta</v>
      </c>
      <c r="O40" t="str">
        <f t="shared" si="0"/>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_xlfn.XLOOKUP(C41,customers!$A$2:$A$1001,customers!$B$2:$B$1001,,0)</f>
        <v>Hy Zanetto</v>
      </c>
      <c r="G41" s="2" t="str">
        <f>IF(_xlfn.XLOOKUP(C41,customers!$A$1:$A$1001,customers!$C$1:$C$1001,,0)=0,"",_xlfn.XLOOKUP(C41,customers!$A$1:$A$1001,customers!$C$1:$C$1001,,0))</f>
        <v/>
      </c>
      <c r="H41" s="2" t="str">
        <f>_xlfn.XLOOKUP(C41,customers!$A$1:$A$1001,customers!$G$1:$G$1001,,0)</f>
        <v>United States</v>
      </c>
      <c r="I41" t="str">
        <f>INDEX(products!$A$1:$G$49, MATCH(orders!$D41, products!$A$1:$A$49, 0), MATCH(orders!I$1, products!$A$1:$G$1, 0))</f>
        <v>Rob</v>
      </c>
      <c r="J41" t="str">
        <f>INDEX(products!$A$1:$G$49, MATCH(orders!$D41, products!$A$1:$A$49, 0), MATCH(orders!J$1, products!$A$1:$G$1, 0))</f>
        <v>M</v>
      </c>
      <c r="K41" s="5">
        <f>INDEX(products!$A$1:$G$49, MATCH(orders!$D41, products!$A$1:$A$49, 0), MATCH(orders!K$1, products!$A$1:$G$1, 0))</f>
        <v>1</v>
      </c>
      <c r="L41" s="6">
        <f>INDEX(products!$A$1:$G$49, MATCH(orders!$D41, products!$A$1:$A$49, 0), MATCH(orders!L$1, products!$A$1:$G$1, 0))</f>
        <v>9.9499999999999993</v>
      </c>
      <c r="M41" s="6">
        <f t="shared" si="1"/>
        <v>59.699999999999996</v>
      </c>
      <c r="N41" t="str">
        <f t="shared" si="2"/>
        <v>Robusta</v>
      </c>
      <c r="O41" t="str">
        <f t="shared" si="0"/>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_xlfn.XLOOKUP(C42,customers!$A$2:$A$1001,customers!$B$2:$B$1001,,0)</f>
        <v>Jessica McNess</v>
      </c>
      <c r="G42" s="2" t="str">
        <f>IF(_xlfn.XLOOKUP(C42,customers!$A$1:$A$1001,customers!$C$1:$C$1001,,0)=0,"",_xlfn.XLOOKUP(C42,customers!$A$1:$A$1001,customers!$C$1:$C$1001,,0))</f>
        <v/>
      </c>
      <c r="H42" s="2" t="str">
        <f>_xlfn.XLOOKUP(C42,customers!$A$1:$A$1001,customers!$G$1:$G$1001,,0)</f>
        <v>United States</v>
      </c>
      <c r="I42" t="str">
        <f>INDEX(products!$A$1:$G$49, MATCH(orders!$D42, products!$A$1:$A$49, 0), MATCH(orders!I$1, products!$A$1:$G$1, 0))</f>
        <v>Lib</v>
      </c>
      <c r="J42" t="str">
        <f>INDEX(products!$A$1:$G$49, MATCH(orders!$D42, products!$A$1:$A$49, 0), MATCH(orders!J$1, products!$A$1:$G$1, 0))</f>
        <v>M</v>
      </c>
      <c r="K42" s="5">
        <f>INDEX(products!$A$1:$G$49, MATCH(orders!$D42, products!$A$1:$A$49, 0), MATCH(orders!K$1, products!$A$1:$G$1, 0))</f>
        <v>1</v>
      </c>
      <c r="L42" s="6">
        <f>INDEX(products!$A$1:$G$49, MATCH(orders!$D42, products!$A$1:$A$49, 0), MATCH(orders!L$1, products!$A$1:$G$1, 0))</f>
        <v>14.55</v>
      </c>
      <c r="M42" s="6">
        <f t="shared" si="1"/>
        <v>43.650000000000006</v>
      </c>
      <c r="N42" t="str">
        <f t="shared" si="2"/>
        <v>Liberica</v>
      </c>
      <c r="O42" t="str">
        <f t="shared" si="0"/>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_xlfn.XLOOKUP(C43,customers!$A$2:$A$1001,customers!$B$2:$B$1001,,0)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 MATCH(orders!$D43, products!$A$1:$A$49, 0), MATCH(orders!I$1, products!$A$1:$G$1, 0))</f>
        <v>Exc</v>
      </c>
      <c r="J43" t="str">
        <f>INDEX(products!$A$1:$G$49, MATCH(orders!$D43, products!$A$1:$A$49, 0), MATCH(orders!J$1, products!$A$1:$G$1, 0))</f>
        <v>D</v>
      </c>
      <c r="K43" s="5">
        <f>INDEX(products!$A$1:$G$49, MATCH(orders!$D43, products!$A$1:$A$49, 0), MATCH(orders!K$1, products!$A$1:$G$1, 0))</f>
        <v>0.2</v>
      </c>
      <c r="L43" s="6">
        <f>INDEX(products!$A$1:$G$49, MATCH(orders!$D43, products!$A$1:$A$49, 0), MATCH(orders!L$1, products!$A$1:$G$1, 0))</f>
        <v>3.645</v>
      </c>
      <c r="M43" s="6">
        <f t="shared" si="1"/>
        <v>7.29</v>
      </c>
      <c r="N43" t="str">
        <f t="shared" si="2"/>
        <v>Excelsa</v>
      </c>
      <c r="O43" t="str">
        <f t="shared" si="0"/>
        <v>Dark</v>
      </c>
      <c r="P43" t="str">
        <f>_xlfn.XLOOKUP(Orders[[#This Row],[Customer ID]],customers!$A$1:$A$1001,customers!$I$1:$I$1001,,0)</f>
        <v>Yes</v>
      </c>
    </row>
    <row r="44" spans="1:16" x14ac:dyDescent="0.3">
      <c r="A44" s="2" t="s">
        <v>726</v>
      </c>
      <c r="B44" s="3">
        <v>43607</v>
      </c>
      <c r="C44" s="2" t="s">
        <v>727</v>
      </c>
      <c r="D44" t="s">
        <v>6163</v>
      </c>
      <c r="E44" s="2">
        <v>3</v>
      </c>
      <c r="F44" s="2" t="str">
        <f>_xlfn.XLOOKUP(C44,customers!$A$2:$A$1001,customers!$B$2:$B$1001,,0)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 MATCH(orders!$D44, products!$A$1:$A$49, 0), MATCH(orders!I$1, products!$A$1:$G$1, 0))</f>
        <v>Rob</v>
      </c>
      <c r="J44" t="str">
        <f>INDEX(products!$A$1:$G$49, MATCH(orders!$D44, products!$A$1:$A$49, 0), MATCH(orders!J$1, products!$A$1:$G$1, 0))</f>
        <v>D</v>
      </c>
      <c r="K44" s="5">
        <f>INDEX(products!$A$1:$G$49, MATCH(orders!$D44, products!$A$1:$A$49, 0), MATCH(orders!K$1, products!$A$1:$G$1, 0))</f>
        <v>0.2</v>
      </c>
      <c r="L44" s="6">
        <f>INDEX(products!$A$1:$G$49, MATCH(orders!$D44, products!$A$1:$A$49, 0), MATCH(orders!L$1, products!$A$1:$G$1, 0))</f>
        <v>2.6849999999999996</v>
      </c>
      <c r="M44" s="6">
        <f t="shared" si="1"/>
        <v>8.0549999999999997</v>
      </c>
      <c r="N44" t="str">
        <f t="shared" si="2"/>
        <v>Robusta</v>
      </c>
      <c r="O44" t="str">
        <f t="shared" si="0"/>
        <v>Dark</v>
      </c>
      <c r="P44" t="str">
        <f>_xlfn.XLOOKUP(Orders[[#This Row],[Customer ID]],customers!$A$1:$A$1001,customers!$I$1:$I$1001,,0)</f>
        <v>Yes</v>
      </c>
    </row>
    <row r="45" spans="1:16" x14ac:dyDescent="0.3">
      <c r="A45" s="2" t="s">
        <v>733</v>
      </c>
      <c r="B45" s="3">
        <v>44473</v>
      </c>
      <c r="C45" s="2" t="s">
        <v>734</v>
      </c>
      <c r="D45" t="s">
        <v>6164</v>
      </c>
      <c r="E45" s="2">
        <v>2</v>
      </c>
      <c r="F45" s="2" t="str">
        <f>_xlfn.XLOOKUP(C45,customers!$A$2:$A$1001,customers!$B$2:$B$1001,,0)</f>
        <v>Maurie Bartol</v>
      </c>
      <c r="G45" s="2" t="str">
        <f>IF(_xlfn.XLOOKUP(C45,customers!$A$1:$A$1001,customers!$C$1:$C$1001,,0)=0,"",_xlfn.XLOOKUP(C45,customers!$A$1:$A$1001,customers!$C$1:$C$1001,,0))</f>
        <v/>
      </c>
      <c r="H45" s="2" t="str">
        <f>_xlfn.XLOOKUP(C45,customers!$A$1:$A$1001,customers!$G$1:$G$1001,,0)</f>
        <v>United States</v>
      </c>
      <c r="I45" t="str">
        <f>INDEX(products!$A$1:$G$49, MATCH(orders!$D45, products!$A$1:$A$49, 0), MATCH(orders!I$1, products!$A$1:$G$1, 0))</f>
        <v>Lib</v>
      </c>
      <c r="J45" t="str">
        <f>INDEX(products!$A$1:$G$49, MATCH(orders!$D45, products!$A$1:$A$49, 0), MATCH(orders!J$1, products!$A$1:$G$1, 0))</f>
        <v>L</v>
      </c>
      <c r="K45" s="5">
        <f>INDEX(products!$A$1:$G$49, MATCH(orders!$D45, products!$A$1:$A$49, 0), MATCH(orders!K$1, products!$A$1:$G$1, 0))</f>
        <v>2.5</v>
      </c>
      <c r="L45" s="6">
        <f>INDEX(products!$A$1:$G$49, MATCH(orders!$D45, products!$A$1:$A$49, 0), MATCH(orders!L$1, products!$A$1:$G$1, 0))</f>
        <v>36.454999999999998</v>
      </c>
      <c r="M45" s="6">
        <f t="shared" si="1"/>
        <v>72.91</v>
      </c>
      <c r="N45" t="str">
        <f t="shared" si="2"/>
        <v>Liberica</v>
      </c>
      <c r="O45" t="str">
        <f t="shared" si="0"/>
        <v>Light</v>
      </c>
      <c r="P45" t="str">
        <f>_xlfn.XLOOKUP(Orders[[#This Row],[Customer ID]],customers!$A$1:$A$1001,customers!$I$1:$I$1001,,0)</f>
        <v>No</v>
      </c>
    </row>
    <row r="46" spans="1:16" x14ac:dyDescent="0.3">
      <c r="A46" s="2" t="s">
        <v>738</v>
      </c>
      <c r="B46" s="3">
        <v>43932</v>
      </c>
      <c r="C46" s="2" t="s">
        <v>739</v>
      </c>
      <c r="D46" t="s">
        <v>6139</v>
      </c>
      <c r="E46" s="2">
        <v>2</v>
      </c>
      <c r="F46" s="2" t="str">
        <f>_xlfn.XLOOKUP(C46,customers!$A$2:$A$1001,customers!$B$2:$B$1001,,0)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 MATCH(orders!$D46, products!$A$1:$A$49, 0), MATCH(orders!I$1, products!$A$1:$G$1, 0))</f>
        <v>Exc</v>
      </c>
      <c r="J46" t="str">
        <f>INDEX(products!$A$1:$G$49, MATCH(orders!$D46, products!$A$1:$A$49, 0), MATCH(orders!J$1, products!$A$1:$G$1, 0))</f>
        <v>M</v>
      </c>
      <c r="K46" s="5">
        <f>INDEX(products!$A$1:$G$49, MATCH(orders!$D46, products!$A$1:$A$49, 0), MATCH(orders!K$1, products!$A$1:$G$1, 0))</f>
        <v>0.5</v>
      </c>
      <c r="L46" s="6">
        <f>INDEX(products!$A$1:$G$49, MATCH(orders!$D46, products!$A$1:$A$49, 0), MATCH(orders!L$1, products!$A$1:$G$1, 0))</f>
        <v>8.25</v>
      </c>
      <c r="M46" s="6">
        <f t="shared" si="1"/>
        <v>16.5</v>
      </c>
      <c r="N46" t="str">
        <f t="shared" si="2"/>
        <v>Excelsa</v>
      </c>
      <c r="O46" t="str">
        <f t="shared" si="0"/>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_xlfn.XLOOKUP(C47,customers!$A$2:$A$1001,customers!$B$2:$B$1001,,0)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 MATCH(orders!$D47, products!$A$1:$A$49, 0), MATCH(orders!I$1, products!$A$1:$G$1, 0))</f>
        <v>Lib</v>
      </c>
      <c r="J47" t="str">
        <f>INDEX(products!$A$1:$G$49, MATCH(orders!$D47, products!$A$1:$A$49, 0), MATCH(orders!J$1, products!$A$1:$G$1, 0))</f>
        <v>D</v>
      </c>
      <c r="K47" s="5">
        <f>INDEX(products!$A$1:$G$49, MATCH(orders!$D47, products!$A$1:$A$49, 0), MATCH(orders!K$1, products!$A$1:$G$1, 0))</f>
        <v>2.5</v>
      </c>
      <c r="L47" s="6">
        <f>INDEX(products!$A$1:$G$49, MATCH(orders!$D47, products!$A$1:$A$49, 0), MATCH(orders!L$1, products!$A$1:$G$1, 0))</f>
        <v>29.784999999999997</v>
      </c>
      <c r="M47" s="6">
        <f t="shared" si="1"/>
        <v>178.70999999999998</v>
      </c>
      <c r="N47" t="str">
        <f t="shared" si="2"/>
        <v>Liberica</v>
      </c>
      <c r="O47" t="str">
        <f t="shared" si="0"/>
        <v>Dark</v>
      </c>
      <c r="P47" t="str">
        <f>_xlfn.XLOOKUP(Orders[[#This Row],[Customer ID]],customers!$A$1:$A$1001,customers!$I$1:$I$1001,,0)</f>
        <v>No</v>
      </c>
    </row>
    <row r="48" spans="1:16" x14ac:dyDescent="0.3">
      <c r="A48" s="2" t="s">
        <v>750</v>
      </c>
      <c r="B48" s="3">
        <v>43776</v>
      </c>
      <c r="C48" s="2" t="s">
        <v>751</v>
      </c>
      <c r="D48" t="s">
        <v>6166</v>
      </c>
      <c r="E48" s="2">
        <v>2</v>
      </c>
      <c r="F48" s="2" t="str">
        <f>_xlfn.XLOOKUP(C48,customers!$A$2:$A$1001,customers!$B$2:$B$1001,,0)</f>
        <v>Donna Baskeyfied</v>
      </c>
      <c r="G48" s="2" t="str">
        <f>IF(_xlfn.XLOOKUP(C48,customers!$A$1:$A$1001,customers!$C$1:$C$1001,,0)=0,"",_xlfn.XLOOKUP(C48,customers!$A$1:$A$1001,customers!$C$1:$C$1001,,0))</f>
        <v/>
      </c>
      <c r="H48" s="2" t="str">
        <f>_xlfn.XLOOKUP(C48,customers!$A$1:$A$1001,customers!$G$1:$G$1001,,0)</f>
        <v>United States</v>
      </c>
      <c r="I48" t="str">
        <f>INDEX(products!$A$1:$G$49, MATCH(orders!$D48, products!$A$1:$A$49, 0), MATCH(orders!I$1, products!$A$1:$G$1, 0))</f>
        <v>Exc</v>
      </c>
      <c r="J48" t="str">
        <f>INDEX(products!$A$1:$G$49, MATCH(orders!$D48, products!$A$1:$A$49, 0), MATCH(orders!J$1, products!$A$1:$G$1, 0))</f>
        <v>M</v>
      </c>
      <c r="K48" s="5">
        <f>INDEX(products!$A$1:$G$49, MATCH(orders!$D48, products!$A$1:$A$49, 0), MATCH(orders!K$1, products!$A$1:$G$1, 0))</f>
        <v>2.5</v>
      </c>
      <c r="L48" s="6">
        <f>INDEX(products!$A$1:$G$49, MATCH(orders!$D48, products!$A$1:$A$49, 0), MATCH(orders!L$1, products!$A$1:$G$1, 0))</f>
        <v>31.624999999999996</v>
      </c>
      <c r="M48" s="6">
        <f t="shared" si="1"/>
        <v>63.249999999999993</v>
      </c>
      <c r="N48" t="str">
        <f t="shared" si="2"/>
        <v>Excelsa</v>
      </c>
      <c r="O48" t="str">
        <f t="shared" si="0"/>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_xlfn.XLOOKUP(C49,customers!$A$2:$A$1001,customers!$B$2:$B$1001,,0)</f>
        <v>Arda Curley</v>
      </c>
      <c r="G49" s="2" t="str">
        <f>IF(_xlfn.XLOOKUP(C49,customers!$A$1:$A$1001,customers!$C$1:$C$1001,,0)=0,"",_xlfn.XLOOKUP(C49,customers!$A$1:$A$1001,customers!$C$1:$C$1001,,0))</f>
        <v>acurley1b@hao123.com</v>
      </c>
      <c r="H49" s="2" t="str">
        <f>_xlfn.XLOOKUP(C49,customers!$A$1:$A$1001,customers!$G$1:$G$1001,,0)</f>
        <v>United States</v>
      </c>
      <c r="I49" t="str">
        <f>INDEX(products!$A$1:$G$49, MATCH(orders!$D49, products!$A$1:$A$49, 0), MATCH(orders!I$1, products!$A$1:$G$1, 0))</f>
        <v>Ara</v>
      </c>
      <c r="J49" t="str">
        <f>INDEX(products!$A$1:$G$49, MATCH(orders!$D49, products!$A$1:$A$49, 0), MATCH(orders!J$1, products!$A$1:$G$1, 0))</f>
        <v>L</v>
      </c>
      <c r="K49" s="5">
        <f>INDEX(products!$A$1:$G$49, MATCH(orders!$D49, products!$A$1:$A$49, 0), MATCH(orders!K$1, products!$A$1:$G$1, 0))</f>
        <v>0.2</v>
      </c>
      <c r="L49" s="6">
        <f>INDEX(products!$A$1:$G$49, MATCH(orders!$D49, products!$A$1:$A$49, 0), MATCH(orders!L$1, products!$A$1:$G$1, 0))</f>
        <v>3.8849999999999998</v>
      </c>
      <c r="M49" s="6">
        <f t="shared" si="1"/>
        <v>7.77</v>
      </c>
      <c r="N49" t="str">
        <f t="shared" si="2"/>
        <v>Arabica</v>
      </c>
      <c r="O49" t="str">
        <f t="shared" si="0"/>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_xlfn.XLOOKUP(C50,customers!$A$2:$A$1001,customers!$B$2:$B$1001,,0)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 MATCH(orders!$D50, products!$A$1:$A$49, 0), MATCH(orders!I$1, products!$A$1:$G$1, 0))</f>
        <v>Ara</v>
      </c>
      <c r="J50" t="str">
        <f>INDEX(products!$A$1:$G$49, MATCH(orders!$D50, products!$A$1:$A$49, 0), MATCH(orders!J$1, products!$A$1:$G$1, 0))</f>
        <v>D</v>
      </c>
      <c r="K50" s="5">
        <f>INDEX(products!$A$1:$G$49, MATCH(orders!$D50, products!$A$1:$A$49, 0), MATCH(orders!K$1, products!$A$1:$G$1, 0))</f>
        <v>2.5</v>
      </c>
      <c r="L50" s="6">
        <f>INDEX(products!$A$1:$G$49, MATCH(orders!$D50, products!$A$1:$A$49, 0), MATCH(orders!L$1, products!$A$1:$G$1, 0))</f>
        <v>22.884999999999998</v>
      </c>
      <c r="M50" s="6">
        <f t="shared" si="1"/>
        <v>91.539999999999992</v>
      </c>
      <c r="N50" t="str">
        <f t="shared" si="2"/>
        <v>Arabica</v>
      </c>
      <c r="O50" t="str">
        <f t="shared" si="0"/>
        <v>Dark</v>
      </c>
      <c r="P50" t="str">
        <f>_xlfn.XLOOKUP(Orders[[#This Row],[Customer ID]],customers!$A$1:$A$1001,customers!$I$1:$I$1001,,0)</f>
        <v>No</v>
      </c>
    </row>
    <row r="51" spans="1:16" x14ac:dyDescent="0.3">
      <c r="A51" s="2" t="s">
        <v>766</v>
      </c>
      <c r="B51" s="3">
        <v>44790</v>
      </c>
      <c r="C51" s="2" t="s">
        <v>767</v>
      </c>
      <c r="D51" t="s">
        <v>6140</v>
      </c>
      <c r="E51" s="2">
        <v>3</v>
      </c>
      <c r="F51" s="2" t="str">
        <f>_xlfn.XLOOKUP(C51,customers!$A$2:$A$1001,customers!$B$2:$B$1001,,0)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 MATCH(orders!$D51, products!$A$1:$A$49, 0), MATCH(orders!I$1, products!$A$1:$G$1, 0))</f>
        <v>Ara</v>
      </c>
      <c r="J51" t="str">
        <f>INDEX(products!$A$1:$G$49, MATCH(orders!$D51, products!$A$1:$A$49, 0), MATCH(orders!J$1, products!$A$1:$G$1, 0))</f>
        <v>L</v>
      </c>
      <c r="K51" s="5">
        <f>INDEX(products!$A$1:$G$49, MATCH(orders!$D51, products!$A$1:$A$49, 0), MATCH(orders!K$1, products!$A$1:$G$1, 0))</f>
        <v>1</v>
      </c>
      <c r="L51" s="6">
        <f>INDEX(products!$A$1:$G$49, MATCH(orders!$D51, products!$A$1:$A$49, 0), MATCH(orders!L$1, products!$A$1:$G$1, 0))</f>
        <v>12.95</v>
      </c>
      <c r="M51" s="6">
        <f t="shared" si="1"/>
        <v>38.849999999999994</v>
      </c>
      <c r="N51" t="str">
        <f t="shared" si="2"/>
        <v>Arabica</v>
      </c>
      <c r="O51" t="str">
        <f t="shared" si="0"/>
        <v>Light</v>
      </c>
      <c r="P51" t="str">
        <f>_xlfn.XLOOKUP(Orders[[#This Row],[Customer ID]],customers!$A$1:$A$1001,customers!$I$1:$I$1001,,0)</f>
        <v>No</v>
      </c>
    </row>
    <row r="52" spans="1:16" x14ac:dyDescent="0.3">
      <c r="A52" s="2" t="s">
        <v>772</v>
      </c>
      <c r="B52" s="3">
        <v>44792</v>
      </c>
      <c r="C52" s="2" t="s">
        <v>773</v>
      </c>
      <c r="D52" t="s">
        <v>6169</v>
      </c>
      <c r="E52" s="2">
        <v>2</v>
      </c>
      <c r="F52" s="2" t="str">
        <f>_xlfn.XLOOKUP(C52,customers!$A$2:$A$1001,customers!$B$2:$B$1001,,0)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 MATCH(orders!$D52, products!$A$1:$A$49, 0), MATCH(orders!I$1, products!$A$1:$G$1, 0))</f>
        <v>Lib</v>
      </c>
      <c r="J52" t="str">
        <f>INDEX(products!$A$1:$G$49, MATCH(orders!$D52, products!$A$1:$A$49, 0), MATCH(orders!J$1, products!$A$1:$G$1, 0))</f>
        <v>D</v>
      </c>
      <c r="K52" s="5">
        <f>INDEX(products!$A$1:$G$49, MATCH(orders!$D52, products!$A$1:$A$49, 0), MATCH(orders!K$1, products!$A$1:$G$1, 0))</f>
        <v>0.5</v>
      </c>
      <c r="L52" s="6">
        <f>INDEX(products!$A$1:$G$49, MATCH(orders!$D52, products!$A$1:$A$49, 0), MATCH(orders!L$1, products!$A$1:$G$1, 0))</f>
        <v>7.77</v>
      </c>
      <c r="M52" s="6">
        <f t="shared" si="1"/>
        <v>15.54</v>
      </c>
      <c r="N52" t="str">
        <f t="shared" si="2"/>
        <v>Liberica</v>
      </c>
      <c r="O52" t="str">
        <f t="shared" si="0"/>
        <v>Dark</v>
      </c>
      <c r="P52" t="str">
        <f>_xlfn.XLOOKUP(Orders[[#This Row],[Customer ID]],customers!$A$1:$A$1001,customers!$I$1:$I$1001,,0)</f>
        <v>No</v>
      </c>
    </row>
    <row r="53" spans="1:16" x14ac:dyDescent="0.3">
      <c r="A53" s="2" t="s">
        <v>778</v>
      </c>
      <c r="B53" s="3">
        <v>43600</v>
      </c>
      <c r="C53" s="2" t="s">
        <v>779</v>
      </c>
      <c r="D53" t="s">
        <v>6164</v>
      </c>
      <c r="E53" s="2">
        <v>4</v>
      </c>
      <c r="F53" s="2" t="str">
        <f>_xlfn.XLOOKUP(C53,customers!$A$2:$A$1001,customers!$B$2:$B$1001,,0)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 MATCH(orders!$D53, products!$A$1:$A$49, 0), MATCH(orders!I$1, products!$A$1:$G$1, 0))</f>
        <v>Lib</v>
      </c>
      <c r="J53" t="str">
        <f>INDEX(products!$A$1:$G$49, MATCH(orders!$D53, products!$A$1:$A$49, 0), MATCH(orders!J$1, products!$A$1:$G$1, 0))</f>
        <v>L</v>
      </c>
      <c r="K53" s="5">
        <f>INDEX(products!$A$1:$G$49, MATCH(orders!$D53, products!$A$1:$A$49, 0), MATCH(orders!K$1, products!$A$1:$G$1, 0))</f>
        <v>2.5</v>
      </c>
      <c r="L53" s="6">
        <f>INDEX(products!$A$1:$G$49, MATCH(orders!$D53, products!$A$1:$A$49, 0), MATCH(orders!L$1, products!$A$1:$G$1, 0))</f>
        <v>36.454999999999998</v>
      </c>
      <c r="M53" s="6">
        <f t="shared" si="1"/>
        <v>145.82</v>
      </c>
      <c r="N53" t="str">
        <f t="shared" si="2"/>
        <v>Liberica</v>
      </c>
      <c r="O53" t="str">
        <f t="shared" si="0"/>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_xlfn.XLOOKUP(C54,customers!$A$2:$A$1001,customers!$B$2:$B$1001,,0)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 MATCH(orders!$D54, products!$A$1:$A$49, 0), MATCH(orders!I$1, products!$A$1:$G$1, 0))</f>
        <v>Rob</v>
      </c>
      <c r="J54" t="str">
        <f>INDEX(products!$A$1:$G$49, MATCH(orders!$D54, products!$A$1:$A$49, 0), MATCH(orders!J$1, products!$A$1:$G$1, 0))</f>
        <v>M</v>
      </c>
      <c r="K54" s="5">
        <f>INDEX(products!$A$1:$G$49, MATCH(orders!$D54, products!$A$1:$A$49, 0), MATCH(orders!K$1, products!$A$1:$G$1, 0))</f>
        <v>0.5</v>
      </c>
      <c r="L54" s="6">
        <f>INDEX(products!$A$1:$G$49, MATCH(orders!$D54, products!$A$1:$A$49, 0), MATCH(orders!L$1, products!$A$1:$G$1, 0))</f>
        <v>5.97</v>
      </c>
      <c r="M54" s="6">
        <f t="shared" si="1"/>
        <v>29.849999999999998</v>
      </c>
      <c r="N54" t="str">
        <f t="shared" si="2"/>
        <v>Robusta</v>
      </c>
      <c r="O54" t="str">
        <f t="shared" si="0"/>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_xlfn.XLOOKUP(C55,customers!$A$2:$A$1001,customers!$B$2:$B$1001,,0)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 MATCH(orders!$D55, products!$A$1:$A$49, 0), MATCH(orders!I$1, products!$A$1:$G$1, 0))</f>
        <v>Lib</v>
      </c>
      <c r="J55" t="str">
        <f>INDEX(products!$A$1:$G$49, MATCH(orders!$D55, products!$A$1:$A$49, 0), MATCH(orders!J$1, products!$A$1:$G$1, 0))</f>
        <v>L</v>
      </c>
      <c r="K55" s="5">
        <f>INDEX(products!$A$1:$G$49, MATCH(orders!$D55, products!$A$1:$A$49, 0), MATCH(orders!K$1, products!$A$1:$G$1, 0))</f>
        <v>2.5</v>
      </c>
      <c r="L55" s="6">
        <f>INDEX(products!$A$1:$G$49, MATCH(orders!$D55, products!$A$1:$A$49, 0), MATCH(orders!L$1, products!$A$1:$G$1, 0))</f>
        <v>36.454999999999998</v>
      </c>
      <c r="M55" s="6">
        <f t="shared" si="1"/>
        <v>72.91</v>
      </c>
      <c r="N55" t="str">
        <f t="shared" si="2"/>
        <v>Liberica</v>
      </c>
      <c r="O55" t="str">
        <f t="shared" si="0"/>
        <v>Light</v>
      </c>
      <c r="P55" t="str">
        <f>_xlfn.XLOOKUP(Orders[[#This Row],[Customer ID]],customers!$A$1:$A$1001,customers!$I$1:$I$1001,,0)</f>
        <v>No</v>
      </c>
    </row>
    <row r="56" spans="1:16" x14ac:dyDescent="0.3">
      <c r="A56" s="2" t="s">
        <v>794</v>
      </c>
      <c r="B56" s="3">
        <v>44271</v>
      </c>
      <c r="C56" s="2" t="s">
        <v>795</v>
      </c>
      <c r="D56" t="s">
        <v>6162</v>
      </c>
      <c r="E56" s="2">
        <v>5</v>
      </c>
      <c r="F56" s="2" t="str">
        <f>_xlfn.XLOOKUP(C56,customers!$A$2:$A$1001,customers!$B$2:$B$1001,,0)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 MATCH(orders!$D56, products!$A$1:$A$49, 0), MATCH(orders!I$1, products!$A$1:$G$1, 0))</f>
        <v>Lib</v>
      </c>
      <c r="J56" t="str">
        <f>INDEX(products!$A$1:$G$49, MATCH(orders!$D56, products!$A$1:$A$49, 0), MATCH(orders!J$1, products!$A$1:$G$1, 0))</f>
        <v>M</v>
      </c>
      <c r="K56" s="5">
        <f>INDEX(products!$A$1:$G$49, MATCH(orders!$D56, products!$A$1:$A$49, 0), MATCH(orders!K$1, products!$A$1:$G$1, 0))</f>
        <v>1</v>
      </c>
      <c r="L56" s="6">
        <f>INDEX(products!$A$1:$G$49, MATCH(orders!$D56, products!$A$1:$A$49, 0), MATCH(orders!L$1, products!$A$1:$G$1, 0))</f>
        <v>14.55</v>
      </c>
      <c r="M56" s="6">
        <f t="shared" si="1"/>
        <v>72.75</v>
      </c>
      <c r="N56" t="str">
        <f t="shared" si="2"/>
        <v>Liberica</v>
      </c>
      <c r="O56" t="str">
        <f t="shared" si="0"/>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_xlfn.XLOOKUP(C57,customers!$A$2:$A$1001,customers!$B$2:$B$1001,,0)</f>
        <v>Salomo Cushworth</v>
      </c>
      <c r="G57" s="2" t="str">
        <f>IF(_xlfn.XLOOKUP(C57,customers!$A$1:$A$1001,customers!$C$1:$C$1001,,0)=0,"",_xlfn.XLOOKUP(C57,customers!$A$1:$A$1001,customers!$C$1:$C$1001,,0))</f>
        <v/>
      </c>
      <c r="H57" s="2" t="str">
        <f>_xlfn.XLOOKUP(C57,customers!$A$1:$A$1001,customers!$G$1:$G$1001,,0)</f>
        <v>United States</v>
      </c>
      <c r="I57" t="str">
        <f>INDEX(products!$A$1:$G$49, MATCH(orders!$D57, products!$A$1:$A$49, 0), MATCH(orders!I$1, products!$A$1:$G$1, 0))</f>
        <v>Lib</v>
      </c>
      <c r="J57" t="str">
        <f>INDEX(products!$A$1:$G$49, MATCH(orders!$D57, products!$A$1:$A$49, 0), MATCH(orders!J$1, products!$A$1:$G$1, 0))</f>
        <v>L</v>
      </c>
      <c r="K57" s="5">
        <f>INDEX(products!$A$1:$G$49, MATCH(orders!$D57, products!$A$1:$A$49, 0), MATCH(orders!K$1, products!$A$1:$G$1, 0))</f>
        <v>1</v>
      </c>
      <c r="L57" s="6">
        <f>INDEX(products!$A$1:$G$49, MATCH(orders!$D57, products!$A$1:$A$49, 0), MATCH(orders!L$1, products!$A$1:$G$1, 0))</f>
        <v>15.85</v>
      </c>
      <c r="M57" s="6">
        <f t="shared" si="1"/>
        <v>47.55</v>
      </c>
      <c r="N57" t="str">
        <f t="shared" si="2"/>
        <v>Liberica</v>
      </c>
      <c r="O57" t="str">
        <f t="shared" si="0"/>
        <v>Light</v>
      </c>
      <c r="P57" t="str">
        <f>_xlfn.XLOOKUP(Orders[[#This Row],[Customer ID]],customers!$A$1:$A$1001,customers!$I$1:$I$1001,,0)</f>
        <v>No</v>
      </c>
    </row>
    <row r="58" spans="1:16" x14ac:dyDescent="0.3">
      <c r="A58" s="2" t="s">
        <v>805</v>
      </c>
      <c r="B58" s="3">
        <v>43857</v>
      </c>
      <c r="C58" s="2" t="s">
        <v>806</v>
      </c>
      <c r="D58" t="s">
        <v>6153</v>
      </c>
      <c r="E58" s="2">
        <v>3</v>
      </c>
      <c r="F58" s="2" t="str">
        <f>_xlfn.XLOOKUP(C58,customers!$A$2:$A$1001,customers!$B$2:$B$1001,,0)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 MATCH(orders!$D58, products!$A$1:$A$49, 0), MATCH(orders!I$1, products!$A$1:$G$1, 0))</f>
        <v>Exc</v>
      </c>
      <c r="J58" t="str">
        <f>INDEX(products!$A$1:$G$49, MATCH(orders!$D58, products!$A$1:$A$49, 0), MATCH(orders!J$1, products!$A$1:$G$1, 0))</f>
        <v>D</v>
      </c>
      <c r="K58" s="5">
        <f>INDEX(products!$A$1:$G$49, MATCH(orders!$D58, products!$A$1:$A$49, 0), MATCH(orders!K$1, products!$A$1:$G$1, 0))</f>
        <v>0.2</v>
      </c>
      <c r="L58" s="6">
        <f>INDEX(products!$A$1:$G$49, MATCH(orders!$D58, products!$A$1:$A$49, 0), MATCH(orders!L$1, products!$A$1:$G$1, 0))</f>
        <v>3.645</v>
      </c>
      <c r="M58" s="6">
        <f t="shared" si="1"/>
        <v>10.935</v>
      </c>
      <c r="N58" t="str">
        <f t="shared" si="2"/>
        <v>Excelsa</v>
      </c>
      <c r="O58" t="str">
        <f t="shared" si="0"/>
        <v>Dark</v>
      </c>
      <c r="P58" t="str">
        <f>_xlfn.XLOOKUP(Orders[[#This Row],[Customer ID]],customers!$A$1:$A$1001,customers!$I$1:$I$1001,,0)</f>
        <v>Yes</v>
      </c>
    </row>
    <row r="59" spans="1:16" x14ac:dyDescent="0.3">
      <c r="A59" s="2" t="s">
        <v>811</v>
      </c>
      <c r="B59" s="3">
        <v>44759</v>
      </c>
      <c r="C59" s="2" t="s">
        <v>812</v>
      </c>
      <c r="D59" t="s">
        <v>6171</v>
      </c>
      <c r="E59" s="2">
        <v>4</v>
      </c>
      <c r="F59" s="2" t="str">
        <f>_xlfn.XLOOKUP(C59,customers!$A$2:$A$1001,customers!$B$2:$B$1001,,0)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 MATCH(orders!$D59, products!$A$1:$A$49, 0), MATCH(orders!I$1, products!$A$1:$G$1, 0))</f>
        <v>Exc</v>
      </c>
      <c r="J59" t="str">
        <f>INDEX(products!$A$1:$G$49, MATCH(orders!$D59, products!$A$1:$A$49, 0), MATCH(orders!J$1, products!$A$1:$G$1, 0))</f>
        <v>L</v>
      </c>
      <c r="K59" s="5">
        <f>INDEX(products!$A$1:$G$49, MATCH(orders!$D59, products!$A$1:$A$49, 0), MATCH(orders!K$1, products!$A$1:$G$1, 0))</f>
        <v>1</v>
      </c>
      <c r="L59" s="6">
        <f>INDEX(products!$A$1:$G$49, MATCH(orders!$D59, products!$A$1:$A$49, 0), MATCH(orders!L$1, products!$A$1:$G$1, 0))</f>
        <v>14.85</v>
      </c>
      <c r="M59" s="6">
        <f t="shared" si="1"/>
        <v>59.4</v>
      </c>
      <c r="N59" t="str">
        <f t="shared" si="2"/>
        <v>Excelsa</v>
      </c>
      <c r="O59" t="str">
        <f t="shared" si="0"/>
        <v>Light</v>
      </c>
      <c r="P59" t="str">
        <f>_xlfn.XLOOKUP(Orders[[#This Row],[Customer ID]],customers!$A$1:$A$1001,customers!$I$1:$I$1001,,0)</f>
        <v>No</v>
      </c>
    </row>
    <row r="60" spans="1:16" x14ac:dyDescent="0.3">
      <c r="A60" s="2" t="s">
        <v>817</v>
      </c>
      <c r="B60" s="3">
        <v>44624</v>
      </c>
      <c r="C60" s="2" t="s">
        <v>818</v>
      </c>
      <c r="D60" t="s">
        <v>6165</v>
      </c>
      <c r="E60" s="2">
        <v>3</v>
      </c>
      <c r="F60" s="2" t="str">
        <f>_xlfn.XLOOKUP(C60,customers!$A$2:$A$1001,customers!$B$2:$B$1001,,0)</f>
        <v>Willa Rolling</v>
      </c>
      <c r="G60" s="2" t="str">
        <f>IF(_xlfn.XLOOKUP(C60,customers!$A$1:$A$1001,customers!$C$1:$C$1001,,0)=0,"",_xlfn.XLOOKUP(C60,customers!$A$1:$A$1001,customers!$C$1:$C$1001,,0))</f>
        <v/>
      </c>
      <c r="H60" s="2" t="str">
        <f>_xlfn.XLOOKUP(C60,customers!$A$1:$A$1001,customers!$G$1:$G$1001,,0)</f>
        <v>United States</v>
      </c>
      <c r="I60" t="str">
        <f>INDEX(products!$A$1:$G$49, MATCH(orders!$D60, products!$A$1:$A$49, 0), MATCH(orders!I$1, products!$A$1:$G$1, 0))</f>
        <v>Lib</v>
      </c>
      <c r="J60" t="str">
        <f>INDEX(products!$A$1:$G$49, MATCH(orders!$D60, products!$A$1:$A$49, 0), MATCH(orders!J$1, products!$A$1:$G$1, 0))</f>
        <v>D</v>
      </c>
      <c r="K60" s="5">
        <f>INDEX(products!$A$1:$G$49, MATCH(orders!$D60, products!$A$1:$A$49, 0), MATCH(orders!K$1, products!$A$1:$G$1, 0))</f>
        <v>2.5</v>
      </c>
      <c r="L60" s="6">
        <f>INDEX(products!$A$1:$G$49, MATCH(orders!$D60, products!$A$1:$A$49, 0), MATCH(orders!L$1, products!$A$1:$G$1, 0))</f>
        <v>29.784999999999997</v>
      </c>
      <c r="M60" s="6">
        <f t="shared" si="1"/>
        <v>89.35499999999999</v>
      </c>
      <c r="N60" t="str">
        <f t="shared" si="2"/>
        <v>Liberica</v>
      </c>
      <c r="O60" t="str">
        <f t="shared" si="0"/>
        <v>Dark</v>
      </c>
      <c r="P60" t="str">
        <f>_xlfn.XLOOKUP(Orders[[#This Row],[Customer ID]],customers!$A$1:$A$1001,customers!$I$1:$I$1001,,0)</f>
        <v>Yes</v>
      </c>
    </row>
    <row r="61" spans="1:16" x14ac:dyDescent="0.3">
      <c r="A61" s="2" t="s">
        <v>822</v>
      </c>
      <c r="B61" s="3">
        <v>44537</v>
      </c>
      <c r="C61" s="2" t="s">
        <v>823</v>
      </c>
      <c r="D61" t="s">
        <v>6160</v>
      </c>
      <c r="E61" s="2">
        <v>3</v>
      </c>
      <c r="F61" s="2" t="str">
        <f>_xlfn.XLOOKUP(C61,customers!$A$2:$A$1001,customers!$B$2:$B$1001,,0)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 MATCH(orders!$D61, products!$A$1:$A$49, 0), MATCH(orders!I$1, products!$A$1:$G$1, 0))</f>
        <v>Lib</v>
      </c>
      <c r="J61" t="str">
        <f>INDEX(products!$A$1:$G$49, MATCH(orders!$D61, products!$A$1:$A$49, 0), MATCH(orders!J$1, products!$A$1:$G$1, 0))</f>
        <v>M</v>
      </c>
      <c r="K61" s="5">
        <f>INDEX(products!$A$1:$G$49, MATCH(orders!$D61, products!$A$1:$A$49, 0), MATCH(orders!K$1, products!$A$1:$G$1, 0))</f>
        <v>0.5</v>
      </c>
      <c r="L61" s="6">
        <f>INDEX(products!$A$1:$G$49, MATCH(orders!$D61, products!$A$1:$A$49, 0), MATCH(orders!L$1, products!$A$1:$G$1, 0))</f>
        <v>8.73</v>
      </c>
      <c r="M61" s="6">
        <f t="shared" si="1"/>
        <v>26.19</v>
      </c>
      <c r="N61" t="str">
        <f t="shared" si="2"/>
        <v>Liberica</v>
      </c>
      <c r="O61" t="str">
        <f t="shared" si="0"/>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_xlfn.XLOOKUP(C62,customers!$A$2:$A$1001,customers!$B$2:$B$1001,,0)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 MATCH(orders!$D62, products!$A$1:$A$49, 0), MATCH(orders!I$1, products!$A$1:$G$1, 0))</f>
        <v>Ara</v>
      </c>
      <c r="J62" t="str">
        <f>INDEX(products!$A$1:$G$49, MATCH(orders!$D62, products!$A$1:$A$49, 0), MATCH(orders!J$1, products!$A$1:$G$1, 0))</f>
        <v>D</v>
      </c>
      <c r="K62" s="5">
        <f>INDEX(products!$A$1:$G$49, MATCH(orders!$D62, products!$A$1:$A$49, 0), MATCH(orders!K$1, products!$A$1:$G$1, 0))</f>
        <v>2.5</v>
      </c>
      <c r="L62" s="6">
        <f>INDEX(products!$A$1:$G$49, MATCH(orders!$D62, products!$A$1:$A$49, 0), MATCH(orders!L$1, products!$A$1:$G$1, 0))</f>
        <v>22.884999999999998</v>
      </c>
      <c r="M62" s="6">
        <f t="shared" si="1"/>
        <v>114.42499999999998</v>
      </c>
      <c r="N62" t="str">
        <f t="shared" si="2"/>
        <v>Arabica</v>
      </c>
      <c r="O62" t="str">
        <f t="shared" si="0"/>
        <v>Dark</v>
      </c>
      <c r="P62" t="str">
        <f>_xlfn.XLOOKUP(Orders[[#This Row],[Customer ID]],customers!$A$1:$A$1001,customers!$I$1:$I$1001,,0)</f>
        <v>No</v>
      </c>
    </row>
    <row r="63" spans="1:16" x14ac:dyDescent="0.3">
      <c r="A63" s="2" t="s">
        <v>833</v>
      </c>
      <c r="B63" s="3">
        <v>43521</v>
      </c>
      <c r="C63" s="2" t="s">
        <v>834</v>
      </c>
      <c r="D63" t="s">
        <v>6172</v>
      </c>
      <c r="E63" s="2">
        <v>5</v>
      </c>
      <c r="F63" s="2" t="str">
        <f>_xlfn.XLOOKUP(C63,customers!$A$2:$A$1001,customers!$B$2:$B$1001,,0)</f>
        <v>Pammi Endacott</v>
      </c>
      <c r="G63" s="2" t="str">
        <f>IF(_xlfn.XLOOKUP(C63,customers!$A$1:$A$1001,customers!$C$1:$C$1001,,0)=0,"",_xlfn.XLOOKUP(C63,customers!$A$1:$A$1001,customers!$C$1:$C$1001,,0))</f>
        <v/>
      </c>
      <c r="H63" s="2" t="str">
        <f>_xlfn.XLOOKUP(C63,customers!$A$1:$A$1001,customers!$G$1:$G$1001,,0)</f>
        <v>United Kingdom</v>
      </c>
      <c r="I63" t="str">
        <f>INDEX(products!$A$1:$G$49, MATCH(orders!$D63, products!$A$1:$A$49, 0), MATCH(orders!I$1, products!$A$1:$G$1, 0))</f>
        <v>Rob</v>
      </c>
      <c r="J63" t="str">
        <f>INDEX(products!$A$1:$G$49, MATCH(orders!$D63, products!$A$1:$A$49, 0), MATCH(orders!J$1, products!$A$1:$G$1, 0))</f>
        <v>D</v>
      </c>
      <c r="K63" s="5">
        <f>INDEX(products!$A$1:$G$49, MATCH(orders!$D63, products!$A$1:$A$49, 0), MATCH(orders!K$1, products!$A$1:$G$1, 0))</f>
        <v>0.5</v>
      </c>
      <c r="L63" s="6">
        <f>INDEX(products!$A$1:$G$49, MATCH(orders!$D63, products!$A$1:$A$49, 0), MATCH(orders!L$1, products!$A$1:$G$1, 0))</f>
        <v>5.3699999999999992</v>
      </c>
      <c r="M63" s="6">
        <f t="shared" si="1"/>
        <v>26.849999999999994</v>
      </c>
      <c r="N63" t="str">
        <f t="shared" si="2"/>
        <v>Robusta</v>
      </c>
      <c r="O63" t="str">
        <f t="shared" si="0"/>
        <v>Dark</v>
      </c>
      <c r="P63" t="str">
        <f>_xlfn.XLOOKUP(Orders[[#This Row],[Customer ID]],customers!$A$1:$A$1001,customers!$I$1:$I$1001,,0)</f>
        <v>Yes</v>
      </c>
    </row>
    <row r="64" spans="1:16" x14ac:dyDescent="0.3">
      <c r="A64" s="2" t="s">
        <v>838</v>
      </c>
      <c r="B64" s="3">
        <v>43505</v>
      </c>
      <c r="C64" s="2" t="s">
        <v>839</v>
      </c>
      <c r="D64" t="s">
        <v>6145</v>
      </c>
      <c r="E64" s="2">
        <v>5</v>
      </c>
      <c r="F64" s="2" t="str">
        <f>_xlfn.XLOOKUP(C64,customers!$A$2:$A$1001,customers!$B$2:$B$1001,,0)</f>
        <v>Nona Linklater</v>
      </c>
      <c r="G64" s="2" t="str">
        <f>IF(_xlfn.XLOOKUP(C64,customers!$A$1:$A$1001,customers!$C$1:$C$1001,,0)=0,"",_xlfn.XLOOKUP(C64,customers!$A$1:$A$1001,customers!$C$1:$C$1001,,0))</f>
        <v/>
      </c>
      <c r="H64" s="2" t="str">
        <f>_xlfn.XLOOKUP(C64,customers!$A$1:$A$1001,customers!$G$1:$G$1001,,0)</f>
        <v>United States</v>
      </c>
      <c r="I64" t="str">
        <f>INDEX(products!$A$1:$G$49, MATCH(orders!$D64, products!$A$1:$A$49, 0), MATCH(orders!I$1, products!$A$1:$G$1, 0))</f>
        <v>Lib</v>
      </c>
      <c r="J64" t="str">
        <f>INDEX(products!$A$1:$G$49, MATCH(orders!$D64, products!$A$1:$A$49, 0), MATCH(orders!J$1, products!$A$1:$G$1, 0))</f>
        <v>L</v>
      </c>
      <c r="K64" s="5">
        <f>INDEX(products!$A$1:$G$49, MATCH(orders!$D64, products!$A$1:$A$49, 0), MATCH(orders!K$1, products!$A$1:$G$1, 0))</f>
        <v>0.2</v>
      </c>
      <c r="L64" s="6">
        <f>INDEX(products!$A$1:$G$49, MATCH(orders!$D64, products!$A$1:$A$49, 0), MATCH(orders!L$1, products!$A$1:$G$1, 0))</f>
        <v>4.7549999999999999</v>
      </c>
      <c r="M64" s="6">
        <f t="shared" si="1"/>
        <v>23.774999999999999</v>
      </c>
      <c r="N64" t="str">
        <f t="shared" si="2"/>
        <v>Liberica</v>
      </c>
      <c r="O64" t="str">
        <f t="shared" si="0"/>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_xlfn.XLOOKUP(C65,customers!$A$2:$A$1001,customers!$B$2:$B$1001,,0)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 MATCH(orders!$D65, products!$A$1:$A$49, 0), MATCH(orders!I$1, products!$A$1:$G$1, 0))</f>
        <v>Ara</v>
      </c>
      <c r="J65" t="str">
        <f>INDEX(products!$A$1:$G$49, MATCH(orders!$D65, products!$A$1:$A$49, 0), MATCH(orders!J$1, products!$A$1:$G$1, 0))</f>
        <v>M</v>
      </c>
      <c r="K65" s="5">
        <f>INDEX(products!$A$1:$G$49, MATCH(orders!$D65, products!$A$1:$A$49, 0), MATCH(orders!K$1, products!$A$1:$G$1, 0))</f>
        <v>0.5</v>
      </c>
      <c r="L65" s="6">
        <f>INDEX(products!$A$1:$G$49, MATCH(orders!$D65, products!$A$1:$A$49, 0), MATCH(orders!L$1, products!$A$1:$G$1, 0))</f>
        <v>6.75</v>
      </c>
      <c r="M65" s="6">
        <f t="shared" si="1"/>
        <v>6.75</v>
      </c>
      <c r="N65" t="str">
        <f t="shared" si="2"/>
        <v>Arabica</v>
      </c>
      <c r="O65" t="str">
        <f t="shared" si="0"/>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_xlfn.XLOOKUP(C66,customers!$A$2:$A$1001,customers!$B$2:$B$1001,,0)</f>
        <v>Felecia Dodgson</v>
      </c>
      <c r="G66" s="2" t="str">
        <f>IF(_xlfn.XLOOKUP(C66,customers!$A$1:$A$1001,customers!$C$1:$C$1001,,0)=0,"",_xlfn.XLOOKUP(C66,customers!$A$1:$A$1001,customers!$C$1:$C$1001,,0))</f>
        <v/>
      </c>
      <c r="H66" s="2" t="str">
        <f>_xlfn.XLOOKUP(C66,customers!$A$1:$A$1001,customers!$G$1:$G$1001,,0)</f>
        <v>United States</v>
      </c>
      <c r="I66" t="str">
        <f>INDEX(products!$A$1:$G$49, MATCH(orders!$D66, products!$A$1:$A$49, 0), MATCH(orders!I$1, products!$A$1:$G$1, 0))</f>
        <v>Rob</v>
      </c>
      <c r="J66" t="str">
        <f>INDEX(products!$A$1:$G$49, MATCH(orders!$D66, products!$A$1:$A$49, 0), MATCH(orders!J$1, products!$A$1:$G$1, 0))</f>
        <v>M</v>
      </c>
      <c r="K66" s="5">
        <f>INDEX(products!$A$1:$G$49, MATCH(orders!$D66, products!$A$1:$A$49, 0), MATCH(orders!K$1, products!$A$1:$G$1, 0))</f>
        <v>0.5</v>
      </c>
      <c r="L66" s="6">
        <f>INDEX(products!$A$1:$G$49, MATCH(orders!$D66, products!$A$1:$A$49, 0), MATCH(orders!L$1, products!$A$1:$G$1, 0))</f>
        <v>5.97</v>
      </c>
      <c r="M66" s="6">
        <f t="shared" si="1"/>
        <v>35.82</v>
      </c>
      <c r="N66" t="str">
        <f t="shared" si="2"/>
        <v>Robusta</v>
      </c>
      <c r="O66" t="str">
        <f t="shared" ref="O66:O129" si="3">IF(J66="M","Medium",IF(J66="l","Light",IF(J66="d","Dark","")))</f>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_xlfn.XLOOKUP(C67,customers!$A$2:$A$1001,customers!$B$2:$B$1001,,0)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 MATCH(orders!$D67, products!$A$1:$A$49, 0), MATCH(orders!I$1, products!$A$1:$G$1, 0))</f>
        <v>Rob</v>
      </c>
      <c r="J67" t="str">
        <f>INDEX(products!$A$1:$G$49, MATCH(orders!$D67, products!$A$1:$A$49, 0), MATCH(orders!J$1, products!$A$1:$G$1, 0))</f>
        <v>D</v>
      </c>
      <c r="K67" s="5">
        <f>INDEX(products!$A$1:$G$49, MATCH(orders!$D67, products!$A$1:$A$49, 0), MATCH(orders!K$1, products!$A$1:$G$1, 0))</f>
        <v>2.5</v>
      </c>
      <c r="L67" s="6">
        <f>INDEX(products!$A$1:$G$49, MATCH(orders!$D67, products!$A$1:$A$49, 0), MATCH(orders!L$1, products!$A$1:$G$1, 0))</f>
        <v>20.584999999999997</v>
      </c>
      <c r="M67" s="6">
        <f t="shared" ref="M67:M130" si="4">L67*E67</f>
        <v>82.339999999999989</v>
      </c>
      <c r="N67" t="str">
        <f t="shared" ref="N67:N130" si="5">IF(I67="Rob","Robusta",IF(I67="Exc","Excelsa",IF(I67="Ara","Arabica",IF(I67="lib","Liberica",""))))</f>
        <v>Robusta</v>
      </c>
      <c r="O67" t="str">
        <f t="shared" si="3"/>
        <v>Dark</v>
      </c>
      <c r="P67" t="str">
        <f>_xlfn.XLOOKUP(Orders[[#This Row],[Customer ID]],customers!$A$1:$A$1001,customers!$I$1:$I$1001,,0)</f>
        <v>Yes</v>
      </c>
    </row>
    <row r="68" spans="1:16" x14ac:dyDescent="0.3">
      <c r="A68" s="2" t="s">
        <v>860</v>
      </c>
      <c r="B68" s="3">
        <v>44666</v>
      </c>
      <c r="C68" s="2" t="s">
        <v>861</v>
      </c>
      <c r="D68" t="s">
        <v>6173</v>
      </c>
      <c r="E68" s="2">
        <v>1</v>
      </c>
      <c r="F68" s="2" t="str">
        <f>_xlfn.XLOOKUP(C68,customers!$A$2:$A$1001,customers!$B$2:$B$1001,,0)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 MATCH(orders!$D68, products!$A$1:$A$49, 0), MATCH(orders!I$1, products!$A$1:$G$1, 0))</f>
        <v>Rob</v>
      </c>
      <c r="J68" t="str">
        <f>INDEX(products!$A$1:$G$49, MATCH(orders!$D68, products!$A$1:$A$49, 0), MATCH(orders!J$1, products!$A$1:$G$1, 0))</f>
        <v>L</v>
      </c>
      <c r="K68" s="5">
        <f>INDEX(products!$A$1:$G$49, MATCH(orders!$D68, products!$A$1:$A$49, 0), MATCH(orders!K$1, products!$A$1:$G$1, 0))</f>
        <v>0.5</v>
      </c>
      <c r="L68" s="6">
        <f>INDEX(products!$A$1:$G$49, MATCH(orders!$D68, products!$A$1:$A$49, 0), MATCH(orders!L$1, products!$A$1:$G$1, 0))</f>
        <v>7.169999999999999</v>
      </c>
      <c r="M68" s="6">
        <f t="shared" si="4"/>
        <v>7.169999999999999</v>
      </c>
      <c r="N68" t="str">
        <f t="shared" si="5"/>
        <v>Robusta</v>
      </c>
      <c r="O68" t="str">
        <f t="shared" si="3"/>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_xlfn.XLOOKUP(C69,customers!$A$2:$A$1001,customers!$B$2:$B$1001,,0)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 MATCH(orders!$D69, products!$A$1:$A$49, 0), MATCH(orders!I$1, products!$A$1:$G$1, 0))</f>
        <v>Lib</v>
      </c>
      <c r="J69" t="str">
        <f>INDEX(products!$A$1:$G$49, MATCH(orders!$D69, products!$A$1:$A$49, 0), MATCH(orders!J$1, products!$A$1:$G$1, 0))</f>
        <v>L</v>
      </c>
      <c r="K69" s="5">
        <f>INDEX(products!$A$1:$G$49, MATCH(orders!$D69, products!$A$1:$A$49, 0), MATCH(orders!K$1, products!$A$1:$G$1, 0))</f>
        <v>0.2</v>
      </c>
      <c r="L69" s="6">
        <f>INDEX(products!$A$1:$G$49, MATCH(orders!$D69, products!$A$1:$A$49, 0), MATCH(orders!L$1, products!$A$1:$G$1, 0))</f>
        <v>4.7549999999999999</v>
      </c>
      <c r="M69" s="6">
        <f t="shared" si="4"/>
        <v>9.51</v>
      </c>
      <c r="N69" t="str">
        <f t="shared" si="5"/>
        <v>Liberica</v>
      </c>
      <c r="O69" t="str">
        <f t="shared" si="3"/>
        <v>Light</v>
      </c>
      <c r="P69" t="str">
        <f>_xlfn.XLOOKUP(Orders[[#This Row],[Customer ID]],customers!$A$1:$A$1001,customers!$I$1:$I$1001,,0)</f>
        <v>No</v>
      </c>
    </row>
    <row r="70" spans="1:16" x14ac:dyDescent="0.3">
      <c r="A70" s="2" t="s">
        <v>872</v>
      </c>
      <c r="B70" s="3">
        <v>43754</v>
      </c>
      <c r="C70" s="2" t="s">
        <v>873</v>
      </c>
      <c r="D70" t="s">
        <v>6174</v>
      </c>
      <c r="E70" s="2">
        <v>1</v>
      </c>
      <c r="F70" s="2" t="str">
        <f>_xlfn.XLOOKUP(C70,customers!$A$2:$A$1001,customers!$B$2:$B$1001,,0)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 MATCH(orders!$D70, products!$A$1:$A$49, 0), MATCH(orders!I$1, products!$A$1:$G$1, 0))</f>
        <v>Rob</v>
      </c>
      <c r="J70" t="str">
        <f>INDEX(products!$A$1:$G$49, MATCH(orders!$D70, products!$A$1:$A$49, 0), MATCH(orders!J$1, products!$A$1:$G$1, 0))</f>
        <v>M</v>
      </c>
      <c r="K70" s="5">
        <f>INDEX(products!$A$1:$G$49, MATCH(orders!$D70, products!$A$1:$A$49, 0), MATCH(orders!K$1, products!$A$1:$G$1, 0))</f>
        <v>0.2</v>
      </c>
      <c r="L70" s="6">
        <f>INDEX(products!$A$1:$G$49, MATCH(orders!$D70, products!$A$1:$A$49, 0), MATCH(orders!L$1, products!$A$1:$G$1, 0))</f>
        <v>2.9849999999999999</v>
      </c>
      <c r="M70" s="6">
        <f t="shared" si="4"/>
        <v>2.9849999999999999</v>
      </c>
      <c r="N70" t="str">
        <f t="shared" si="5"/>
        <v>Robusta</v>
      </c>
      <c r="O70" t="str">
        <f t="shared" si="3"/>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_xlfn.XLOOKUP(C71,customers!$A$2:$A$1001,customers!$B$2:$B$1001,,0)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 MATCH(orders!$D71, products!$A$1:$A$49, 0), MATCH(orders!I$1, products!$A$1:$G$1, 0))</f>
        <v>Rob</v>
      </c>
      <c r="J71" t="str">
        <f>INDEX(products!$A$1:$G$49, MATCH(orders!$D71, products!$A$1:$A$49, 0), MATCH(orders!J$1, products!$A$1:$G$1, 0))</f>
        <v>M</v>
      </c>
      <c r="K71" s="5">
        <f>INDEX(products!$A$1:$G$49, MATCH(orders!$D71, products!$A$1:$A$49, 0), MATCH(orders!K$1, products!$A$1:$G$1, 0))</f>
        <v>1</v>
      </c>
      <c r="L71" s="6">
        <f>INDEX(products!$A$1:$G$49, MATCH(orders!$D71, products!$A$1:$A$49, 0), MATCH(orders!L$1, products!$A$1:$G$1, 0))</f>
        <v>9.9499999999999993</v>
      </c>
      <c r="M71" s="6">
        <f t="shared" si="4"/>
        <v>59.699999999999996</v>
      </c>
      <c r="N71" t="str">
        <f t="shared" si="5"/>
        <v>Robusta</v>
      </c>
      <c r="O71" t="str">
        <f t="shared" si="3"/>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_xlfn.XLOOKUP(C72,customers!$A$2:$A$1001,customers!$B$2:$B$1001,,0)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 MATCH(orders!$D72, products!$A$1:$A$49, 0), MATCH(orders!I$1, products!$A$1:$G$1, 0))</f>
        <v>Exc</v>
      </c>
      <c r="J72" t="str">
        <f>INDEX(products!$A$1:$G$49, MATCH(orders!$D72, products!$A$1:$A$49, 0), MATCH(orders!J$1, products!$A$1:$G$1, 0))</f>
        <v>L</v>
      </c>
      <c r="K72" s="5">
        <f>INDEX(products!$A$1:$G$49, MATCH(orders!$D72, products!$A$1:$A$49, 0), MATCH(orders!K$1, products!$A$1:$G$1, 0))</f>
        <v>2.5</v>
      </c>
      <c r="L72" s="6">
        <f>INDEX(products!$A$1:$G$49, MATCH(orders!$D72, products!$A$1:$A$49, 0), MATCH(orders!L$1, products!$A$1:$G$1, 0))</f>
        <v>34.154999999999994</v>
      </c>
      <c r="M72" s="6">
        <f t="shared" si="4"/>
        <v>136.61999999999998</v>
      </c>
      <c r="N72" t="str">
        <f t="shared" si="5"/>
        <v>Excelsa</v>
      </c>
      <c r="O72" t="str">
        <f t="shared" si="3"/>
        <v>Light</v>
      </c>
      <c r="P72" t="str">
        <f>_xlfn.XLOOKUP(Orders[[#This Row],[Customer ID]],customers!$A$1:$A$1001,customers!$I$1:$I$1001,,0)</f>
        <v>No</v>
      </c>
    </row>
    <row r="73" spans="1:16" x14ac:dyDescent="0.3">
      <c r="A73" s="2" t="s">
        <v>891</v>
      </c>
      <c r="B73" s="3">
        <v>44200</v>
      </c>
      <c r="C73" s="2" t="s">
        <v>892</v>
      </c>
      <c r="D73" t="s">
        <v>6145</v>
      </c>
      <c r="E73" s="2">
        <v>2</v>
      </c>
      <c r="F73" s="2" t="str">
        <f>_xlfn.XLOOKUP(C73,customers!$A$2:$A$1001,customers!$B$2:$B$1001,,0)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 MATCH(orders!$D73, products!$A$1:$A$49, 0), MATCH(orders!I$1, products!$A$1:$G$1, 0))</f>
        <v>Lib</v>
      </c>
      <c r="J73" t="str">
        <f>INDEX(products!$A$1:$G$49, MATCH(orders!$D73, products!$A$1:$A$49, 0), MATCH(orders!J$1, products!$A$1:$G$1, 0))</f>
        <v>L</v>
      </c>
      <c r="K73" s="5">
        <f>INDEX(products!$A$1:$G$49, MATCH(orders!$D73, products!$A$1:$A$49, 0), MATCH(orders!K$1, products!$A$1:$G$1, 0))</f>
        <v>0.2</v>
      </c>
      <c r="L73" s="6">
        <f>INDEX(products!$A$1:$G$49, MATCH(orders!$D73, products!$A$1:$A$49, 0), MATCH(orders!L$1, products!$A$1:$G$1, 0))</f>
        <v>4.7549999999999999</v>
      </c>
      <c r="M73" s="6">
        <f t="shared" si="4"/>
        <v>9.51</v>
      </c>
      <c r="N73" t="str">
        <f t="shared" si="5"/>
        <v>Liberica</v>
      </c>
      <c r="O73" t="str">
        <f t="shared" si="3"/>
        <v>Light</v>
      </c>
      <c r="P73" t="str">
        <f>_xlfn.XLOOKUP(Orders[[#This Row],[Customer ID]],customers!$A$1:$A$1001,customers!$I$1:$I$1001,,0)</f>
        <v>No</v>
      </c>
    </row>
    <row r="74" spans="1:16" x14ac:dyDescent="0.3">
      <c r="A74" s="2" t="s">
        <v>897</v>
      </c>
      <c r="B74" s="3">
        <v>44131</v>
      </c>
      <c r="C74" s="2" t="s">
        <v>898</v>
      </c>
      <c r="D74" t="s">
        <v>6175</v>
      </c>
      <c r="E74" s="2">
        <v>3</v>
      </c>
      <c r="F74" s="2" t="str">
        <f>_xlfn.XLOOKUP(C74,customers!$A$2:$A$1001,customers!$B$2:$B$1001,,0)</f>
        <v>Aurlie McCarl</v>
      </c>
      <c r="G74" s="2" t="str">
        <f>IF(_xlfn.XLOOKUP(C74,customers!$A$1:$A$1001,customers!$C$1:$C$1001,,0)=0,"",_xlfn.XLOOKUP(C74,customers!$A$1:$A$1001,customers!$C$1:$C$1001,,0))</f>
        <v/>
      </c>
      <c r="H74" s="2" t="str">
        <f>_xlfn.XLOOKUP(C74,customers!$A$1:$A$1001,customers!$G$1:$G$1001,,0)</f>
        <v>United States</v>
      </c>
      <c r="I74" t="str">
        <f>INDEX(products!$A$1:$G$49, MATCH(orders!$D74, products!$A$1:$A$49, 0), MATCH(orders!I$1, products!$A$1:$G$1, 0))</f>
        <v>Ara</v>
      </c>
      <c r="J74" t="str">
        <f>INDEX(products!$A$1:$G$49, MATCH(orders!$D74, products!$A$1:$A$49, 0), MATCH(orders!J$1, products!$A$1:$G$1, 0))</f>
        <v>M</v>
      </c>
      <c r="K74" s="5">
        <f>INDEX(products!$A$1:$G$49, MATCH(orders!$D74, products!$A$1:$A$49, 0), MATCH(orders!K$1, products!$A$1:$G$1, 0))</f>
        <v>2.5</v>
      </c>
      <c r="L74" s="6">
        <f>INDEX(products!$A$1:$G$49, MATCH(orders!$D74, products!$A$1:$A$49, 0), MATCH(orders!L$1, products!$A$1:$G$1, 0))</f>
        <v>25.874999999999996</v>
      </c>
      <c r="M74" s="6">
        <f t="shared" si="4"/>
        <v>77.624999999999986</v>
      </c>
      <c r="N74" t="str">
        <f t="shared" si="5"/>
        <v>Arabica</v>
      </c>
      <c r="O74" t="str">
        <f t="shared" si="3"/>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_xlfn.XLOOKUP(C75,customers!$A$2:$A$1001,customers!$B$2:$B$1001,,0)</f>
        <v>Alikee Carryer</v>
      </c>
      <c r="G75" s="2" t="str">
        <f>IF(_xlfn.XLOOKUP(C75,customers!$A$1:$A$1001,customers!$C$1:$C$1001,,0)=0,"",_xlfn.XLOOKUP(C75,customers!$A$1:$A$1001,customers!$C$1:$C$1001,,0))</f>
        <v/>
      </c>
      <c r="H75" s="2" t="str">
        <f>_xlfn.XLOOKUP(C75,customers!$A$1:$A$1001,customers!$G$1:$G$1001,,0)</f>
        <v>United States</v>
      </c>
      <c r="I75" t="str">
        <f>INDEX(products!$A$1:$G$49, MATCH(orders!$D75, products!$A$1:$A$49, 0), MATCH(orders!I$1, products!$A$1:$G$1, 0))</f>
        <v>Lib</v>
      </c>
      <c r="J75" t="str">
        <f>INDEX(products!$A$1:$G$49, MATCH(orders!$D75, products!$A$1:$A$49, 0), MATCH(orders!J$1, products!$A$1:$G$1, 0))</f>
        <v>M</v>
      </c>
      <c r="K75" s="5">
        <f>INDEX(products!$A$1:$G$49, MATCH(orders!$D75, products!$A$1:$A$49, 0), MATCH(orders!K$1, products!$A$1:$G$1, 0))</f>
        <v>0.2</v>
      </c>
      <c r="L75" s="6">
        <f>INDEX(products!$A$1:$G$49, MATCH(orders!$D75, products!$A$1:$A$49, 0), MATCH(orders!L$1, products!$A$1:$G$1, 0))</f>
        <v>4.3650000000000002</v>
      </c>
      <c r="M75" s="6">
        <f t="shared" si="4"/>
        <v>21.825000000000003</v>
      </c>
      <c r="N75" t="str">
        <f t="shared" si="5"/>
        <v>Liberica</v>
      </c>
      <c r="O75" t="str">
        <f t="shared" si="3"/>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_xlfn.XLOOKUP(C76,customers!$A$2:$A$1001,customers!$B$2:$B$1001,,0)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 MATCH(orders!$D76, products!$A$1:$A$49, 0), MATCH(orders!I$1, products!$A$1:$G$1, 0))</f>
        <v>Exc</v>
      </c>
      <c r="J76" t="str">
        <f>INDEX(products!$A$1:$G$49, MATCH(orders!$D76, products!$A$1:$A$49, 0), MATCH(orders!J$1, products!$A$1:$G$1, 0))</f>
        <v>L</v>
      </c>
      <c r="K76" s="5">
        <f>INDEX(products!$A$1:$G$49, MATCH(orders!$D76, products!$A$1:$A$49, 0), MATCH(orders!K$1, products!$A$1:$G$1, 0))</f>
        <v>0.5</v>
      </c>
      <c r="L76" s="6">
        <f>INDEX(products!$A$1:$G$49, MATCH(orders!$D76, products!$A$1:$A$49, 0), MATCH(orders!L$1, products!$A$1:$G$1, 0))</f>
        <v>8.91</v>
      </c>
      <c r="M76" s="6">
        <f t="shared" si="4"/>
        <v>17.82</v>
      </c>
      <c r="N76" t="str">
        <f t="shared" si="5"/>
        <v>Excelsa</v>
      </c>
      <c r="O76" t="str">
        <f t="shared" si="3"/>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_xlfn.XLOOKUP(C77,customers!$A$2:$A$1001,customers!$B$2:$B$1001,,0)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 MATCH(orders!$D77, products!$A$1:$A$49, 0), MATCH(orders!I$1, products!$A$1:$G$1, 0))</f>
        <v>Rob</v>
      </c>
      <c r="J77" t="str">
        <f>INDEX(products!$A$1:$G$49, MATCH(orders!$D77, products!$A$1:$A$49, 0), MATCH(orders!J$1, products!$A$1:$G$1, 0))</f>
        <v>D</v>
      </c>
      <c r="K77" s="5">
        <f>INDEX(products!$A$1:$G$49, MATCH(orders!$D77, products!$A$1:$A$49, 0), MATCH(orders!K$1, products!$A$1:$G$1, 0))</f>
        <v>1</v>
      </c>
      <c r="L77" s="6">
        <f>INDEX(products!$A$1:$G$49, MATCH(orders!$D77, products!$A$1:$A$49, 0), MATCH(orders!L$1, products!$A$1:$G$1, 0))</f>
        <v>8.9499999999999993</v>
      </c>
      <c r="M77" s="6">
        <f t="shared" si="4"/>
        <v>53.699999999999996</v>
      </c>
      <c r="N77" t="str">
        <f t="shared" si="5"/>
        <v>Robusta</v>
      </c>
      <c r="O77" t="str">
        <f t="shared" si="3"/>
        <v>Dark</v>
      </c>
      <c r="P77" t="str">
        <f>_xlfn.XLOOKUP(Orders[[#This Row],[Customer ID]],customers!$A$1:$A$1001,customers!$I$1:$I$1001,,0)</f>
        <v>Yes</v>
      </c>
    </row>
    <row r="78" spans="1:16" x14ac:dyDescent="0.3">
      <c r="A78" s="2" t="s">
        <v>919</v>
      </c>
      <c r="B78" s="3">
        <v>43855</v>
      </c>
      <c r="C78" s="2" t="s">
        <v>920</v>
      </c>
      <c r="D78" t="s">
        <v>6178</v>
      </c>
      <c r="E78" s="2">
        <v>1</v>
      </c>
      <c r="F78" s="2" t="str">
        <f>_xlfn.XLOOKUP(C78,customers!$A$2:$A$1001,customers!$B$2:$B$1001,,0)</f>
        <v>Melania Beadle</v>
      </c>
      <c r="G78" s="2" t="str">
        <f>IF(_xlfn.XLOOKUP(C78,customers!$A$1:$A$1001,customers!$C$1:$C$1001,,0)=0,"",_xlfn.XLOOKUP(C78,customers!$A$1:$A$1001,customers!$C$1:$C$1001,,0))</f>
        <v/>
      </c>
      <c r="H78" s="2" t="str">
        <f>_xlfn.XLOOKUP(C78,customers!$A$1:$A$1001,customers!$G$1:$G$1001,,0)</f>
        <v>Ireland</v>
      </c>
      <c r="I78" t="str">
        <f>INDEX(products!$A$1:$G$49, MATCH(orders!$D78, products!$A$1:$A$49, 0), MATCH(orders!I$1, products!$A$1:$G$1, 0))</f>
        <v>Rob</v>
      </c>
      <c r="J78" t="str">
        <f>INDEX(products!$A$1:$G$49, MATCH(orders!$D78, products!$A$1:$A$49, 0), MATCH(orders!J$1, products!$A$1:$G$1, 0))</f>
        <v>L</v>
      </c>
      <c r="K78" s="5">
        <f>INDEX(products!$A$1:$G$49, MATCH(orders!$D78, products!$A$1:$A$49, 0), MATCH(orders!K$1, products!$A$1:$G$1, 0))</f>
        <v>0.2</v>
      </c>
      <c r="L78" s="6">
        <f>INDEX(products!$A$1:$G$49, MATCH(orders!$D78, products!$A$1:$A$49, 0), MATCH(orders!L$1, products!$A$1:$G$1, 0))</f>
        <v>3.5849999999999995</v>
      </c>
      <c r="M78" s="6">
        <f t="shared" si="4"/>
        <v>3.5849999999999995</v>
      </c>
      <c r="N78" t="str">
        <f t="shared" si="5"/>
        <v>Robusta</v>
      </c>
      <c r="O78" t="str">
        <f t="shared" si="3"/>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_xlfn.XLOOKUP(C79,customers!$A$2:$A$1001,customers!$B$2:$B$1001,,0)</f>
        <v>Colene Elgey</v>
      </c>
      <c r="G79" s="2" t="str">
        <f>IF(_xlfn.XLOOKUP(C79,customers!$A$1:$A$1001,customers!$C$1:$C$1001,,0)=0,"",_xlfn.XLOOKUP(C79,customers!$A$1:$A$1001,customers!$C$1:$C$1001,,0))</f>
        <v>celgey25@webs.com</v>
      </c>
      <c r="H79" s="2" t="str">
        <f>_xlfn.XLOOKUP(C79,customers!$A$1:$A$1001,customers!$G$1:$G$1001,,0)</f>
        <v>United States</v>
      </c>
      <c r="I79" t="str">
        <f>INDEX(products!$A$1:$G$49, MATCH(orders!$D79, products!$A$1:$A$49, 0), MATCH(orders!I$1, products!$A$1:$G$1, 0))</f>
        <v>Exc</v>
      </c>
      <c r="J79" t="str">
        <f>INDEX(products!$A$1:$G$49, MATCH(orders!$D79, products!$A$1:$A$49, 0), MATCH(orders!J$1, products!$A$1:$G$1, 0))</f>
        <v>D</v>
      </c>
      <c r="K79" s="5">
        <f>INDEX(products!$A$1:$G$49, MATCH(orders!$D79, products!$A$1:$A$49, 0), MATCH(orders!K$1, products!$A$1:$G$1, 0))</f>
        <v>0.2</v>
      </c>
      <c r="L79" s="6">
        <f>INDEX(products!$A$1:$G$49, MATCH(orders!$D79, products!$A$1:$A$49, 0), MATCH(orders!L$1, products!$A$1:$G$1, 0))</f>
        <v>3.645</v>
      </c>
      <c r="M79" s="6">
        <f t="shared" si="4"/>
        <v>7.29</v>
      </c>
      <c r="N79" t="str">
        <f t="shared" si="5"/>
        <v>Excelsa</v>
      </c>
      <c r="O79" t="str">
        <f t="shared" si="3"/>
        <v>Dark</v>
      </c>
      <c r="P79" t="str">
        <f>_xlfn.XLOOKUP(Orders[[#This Row],[Customer ID]],customers!$A$1:$A$1001,customers!$I$1:$I$1001,,0)</f>
        <v>No</v>
      </c>
    </row>
    <row r="80" spans="1:16" x14ac:dyDescent="0.3">
      <c r="A80" s="2" t="s">
        <v>930</v>
      </c>
      <c r="B80" s="3">
        <v>43920</v>
      </c>
      <c r="C80" s="2" t="s">
        <v>931</v>
      </c>
      <c r="D80" t="s">
        <v>6157</v>
      </c>
      <c r="E80" s="2">
        <v>6</v>
      </c>
      <c r="F80" s="2" t="str">
        <f>_xlfn.XLOOKUP(C80,customers!$A$2:$A$1001,customers!$B$2:$B$1001,,0)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 MATCH(orders!$D80, products!$A$1:$A$49, 0), MATCH(orders!I$1, products!$A$1:$G$1, 0))</f>
        <v>Ara</v>
      </c>
      <c r="J80" t="str">
        <f>INDEX(products!$A$1:$G$49, MATCH(orders!$D80, products!$A$1:$A$49, 0), MATCH(orders!J$1, products!$A$1:$G$1, 0))</f>
        <v>M</v>
      </c>
      <c r="K80" s="5">
        <f>INDEX(products!$A$1:$G$49, MATCH(orders!$D80, products!$A$1:$A$49, 0), MATCH(orders!K$1, products!$A$1:$G$1, 0))</f>
        <v>0.5</v>
      </c>
      <c r="L80" s="6">
        <f>INDEX(products!$A$1:$G$49, MATCH(orders!$D80, products!$A$1:$A$49, 0), MATCH(orders!L$1, products!$A$1:$G$1, 0))</f>
        <v>6.75</v>
      </c>
      <c r="M80" s="6">
        <f t="shared" si="4"/>
        <v>40.5</v>
      </c>
      <c r="N80" t="str">
        <f t="shared" si="5"/>
        <v>Arabica</v>
      </c>
      <c r="O80" t="str">
        <f t="shared" si="3"/>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_xlfn.XLOOKUP(C81,customers!$A$2:$A$1001,customers!$B$2:$B$1001,,0)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 MATCH(orders!$D81, products!$A$1:$A$49, 0), MATCH(orders!I$1, products!$A$1:$G$1, 0))</f>
        <v>Rob</v>
      </c>
      <c r="J81" t="str">
        <f>INDEX(products!$A$1:$G$49, MATCH(orders!$D81, products!$A$1:$A$49, 0), MATCH(orders!J$1, products!$A$1:$G$1, 0))</f>
        <v>L</v>
      </c>
      <c r="K81" s="5">
        <f>INDEX(products!$A$1:$G$49, MATCH(orders!$D81, products!$A$1:$A$49, 0), MATCH(orders!K$1, products!$A$1:$G$1, 0))</f>
        <v>1</v>
      </c>
      <c r="L81" s="6">
        <f>INDEX(products!$A$1:$G$49, MATCH(orders!$D81, products!$A$1:$A$49, 0), MATCH(orders!L$1, products!$A$1:$G$1, 0))</f>
        <v>11.95</v>
      </c>
      <c r="M81" s="6">
        <f t="shared" si="4"/>
        <v>47.8</v>
      </c>
      <c r="N81" t="str">
        <f t="shared" si="5"/>
        <v>Robusta</v>
      </c>
      <c r="O81" t="str">
        <f t="shared" si="3"/>
        <v>Light</v>
      </c>
      <c r="P81" t="str">
        <f>_xlfn.XLOOKUP(Orders[[#This Row],[Customer ID]],customers!$A$1:$A$1001,customers!$I$1:$I$1001,,0)</f>
        <v>No</v>
      </c>
    </row>
    <row r="82" spans="1:16" x14ac:dyDescent="0.3">
      <c r="A82" s="2" t="s">
        <v>942</v>
      </c>
      <c r="B82" s="3">
        <v>43572</v>
      </c>
      <c r="C82" s="2" t="s">
        <v>943</v>
      </c>
      <c r="D82" t="s">
        <v>6180</v>
      </c>
      <c r="E82" s="2">
        <v>5</v>
      </c>
      <c r="F82" s="2" t="str">
        <f>_xlfn.XLOOKUP(C82,customers!$A$2:$A$1001,customers!$B$2:$B$1001,,0)</f>
        <v>Ami Arnow</v>
      </c>
      <c r="G82" s="2" t="str">
        <f>IF(_xlfn.XLOOKUP(C82,customers!$A$1:$A$1001,customers!$C$1:$C$1001,,0)=0,"",_xlfn.XLOOKUP(C82,customers!$A$1:$A$1001,customers!$C$1:$C$1001,,0))</f>
        <v>aarnow28@arizona.edu</v>
      </c>
      <c r="H82" s="2" t="str">
        <f>_xlfn.XLOOKUP(C82,customers!$A$1:$A$1001,customers!$G$1:$G$1001,,0)</f>
        <v>United States</v>
      </c>
      <c r="I82" t="str">
        <f>INDEX(products!$A$1:$G$49, MATCH(orders!$D82, products!$A$1:$A$49, 0), MATCH(orders!I$1, products!$A$1:$G$1, 0))</f>
        <v>Ara</v>
      </c>
      <c r="J82" t="str">
        <f>INDEX(products!$A$1:$G$49, MATCH(orders!$D82, products!$A$1:$A$49, 0), MATCH(orders!J$1, products!$A$1:$G$1, 0))</f>
        <v>L</v>
      </c>
      <c r="K82" s="5">
        <f>INDEX(products!$A$1:$G$49, MATCH(orders!$D82, products!$A$1:$A$49, 0), MATCH(orders!K$1, products!$A$1:$G$1, 0))</f>
        <v>0.5</v>
      </c>
      <c r="L82" s="6">
        <f>INDEX(products!$A$1:$G$49, MATCH(orders!$D82, products!$A$1:$A$49, 0), MATCH(orders!L$1, products!$A$1:$G$1, 0))</f>
        <v>7.77</v>
      </c>
      <c r="M82" s="6">
        <f t="shared" si="4"/>
        <v>38.849999999999994</v>
      </c>
      <c r="N82" t="str">
        <f t="shared" si="5"/>
        <v>Arabica</v>
      </c>
      <c r="O82" t="str">
        <f t="shared" si="3"/>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_xlfn.XLOOKUP(C83,customers!$A$2:$A$1001,customers!$B$2:$B$1001,,0)</f>
        <v>Sheppard Yann</v>
      </c>
      <c r="G83" s="2" t="str">
        <f>IF(_xlfn.XLOOKUP(C83,customers!$A$1:$A$1001,customers!$C$1:$C$1001,,0)=0,"",_xlfn.XLOOKUP(C83,customers!$A$1:$A$1001,customers!$C$1:$C$1001,,0))</f>
        <v>syann29@senate.gov</v>
      </c>
      <c r="H83" s="2" t="str">
        <f>_xlfn.XLOOKUP(C83,customers!$A$1:$A$1001,customers!$G$1:$G$1001,,0)</f>
        <v>United States</v>
      </c>
      <c r="I83" t="str">
        <f>INDEX(products!$A$1:$G$49, MATCH(orders!$D83, products!$A$1:$A$49, 0), MATCH(orders!I$1, products!$A$1:$G$1, 0))</f>
        <v>Lib</v>
      </c>
      <c r="J83" t="str">
        <f>INDEX(products!$A$1:$G$49, MATCH(orders!$D83, products!$A$1:$A$49, 0), MATCH(orders!J$1, products!$A$1:$G$1, 0))</f>
        <v>L</v>
      </c>
      <c r="K83" s="5">
        <f>INDEX(products!$A$1:$G$49, MATCH(orders!$D83, products!$A$1:$A$49, 0), MATCH(orders!K$1, products!$A$1:$G$1, 0))</f>
        <v>2.5</v>
      </c>
      <c r="L83" s="6">
        <f>INDEX(products!$A$1:$G$49, MATCH(orders!$D83, products!$A$1:$A$49, 0), MATCH(orders!L$1, products!$A$1:$G$1, 0))</f>
        <v>36.454999999999998</v>
      </c>
      <c r="M83" s="6">
        <f t="shared" si="4"/>
        <v>109.36499999999999</v>
      </c>
      <c r="N83" t="str">
        <f t="shared" si="5"/>
        <v>Liberica</v>
      </c>
      <c r="O83" t="str">
        <f t="shared" si="3"/>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_xlfn.XLOOKUP(C84,customers!$A$2:$A$1001,customers!$B$2:$B$1001,,0)</f>
        <v>Bunny Naulls</v>
      </c>
      <c r="G84" s="2" t="str">
        <f>IF(_xlfn.XLOOKUP(C84,customers!$A$1:$A$1001,customers!$C$1:$C$1001,,0)=0,"",_xlfn.XLOOKUP(C84,customers!$A$1:$A$1001,customers!$C$1:$C$1001,,0))</f>
        <v>bnaulls2a@tiny.cc</v>
      </c>
      <c r="H84" s="2" t="str">
        <f>_xlfn.XLOOKUP(C84,customers!$A$1:$A$1001,customers!$G$1:$G$1001,,0)</f>
        <v>Ireland</v>
      </c>
      <c r="I84" t="str">
        <f>INDEX(products!$A$1:$G$49, MATCH(orders!$D84, products!$A$1:$A$49, 0), MATCH(orders!I$1, products!$A$1:$G$1, 0))</f>
        <v>Lib</v>
      </c>
      <c r="J84" t="str">
        <f>INDEX(products!$A$1:$G$49, MATCH(orders!$D84, products!$A$1:$A$49, 0), MATCH(orders!J$1, products!$A$1:$G$1, 0))</f>
        <v>M</v>
      </c>
      <c r="K84" s="5">
        <f>INDEX(products!$A$1:$G$49, MATCH(orders!$D84, products!$A$1:$A$49, 0), MATCH(orders!K$1, products!$A$1:$G$1, 0))</f>
        <v>2.5</v>
      </c>
      <c r="L84" s="6">
        <f>INDEX(products!$A$1:$G$49, MATCH(orders!$D84, products!$A$1:$A$49, 0), MATCH(orders!L$1, products!$A$1:$G$1, 0))</f>
        <v>33.464999999999996</v>
      </c>
      <c r="M84" s="6">
        <f t="shared" si="4"/>
        <v>100.39499999999998</v>
      </c>
      <c r="N84" t="str">
        <f t="shared" si="5"/>
        <v>Liberica</v>
      </c>
      <c r="O84" t="str">
        <f t="shared" si="3"/>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_xlfn.XLOOKUP(C85,customers!$A$2:$A$1001,customers!$B$2:$B$1001,,0)</f>
        <v>Hally Lorait</v>
      </c>
      <c r="G85" s="2" t="str">
        <f>IF(_xlfn.XLOOKUP(C85,customers!$A$1:$A$1001,customers!$C$1:$C$1001,,0)=0,"",_xlfn.XLOOKUP(C85,customers!$A$1:$A$1001,customers!$C$1:$C$1001,,0))</f>
        <v/>
      </c>
      <c r="H85" s="2" t="str">
        <f>_xlfn.XLOOKUP(C85,customers!$A$1:$A$1001,customers!$G$1:$G$1001,,0)</f>
        <v>United States</v>
      </c>
      <c r="I85" t="str">
        <f>INDEX(products!$A$1:$G$49, MATCH(orders!$D85, products!$A$1:$A$49, 0), MATCH(orders!I$1, products!$A$1:$G$1, 0))</f>
        <v>Rob</v>
      </c>
      <c r="J85" t="str">
        <f>INDEX(products!$A$1:$G$49, MATCH(orders!$D85, products!$A$1:$A$49, 0), MATCH(orders!J$1, products!$A$1:$G$1, 0))</f>
        <v>D</v>
      </c>
      <c r="K85" s="5">
        <f>INDEX(products!$A$1:$G$49, MATCH(orders!$D85, products!$A$1:$A$49, 0), MATCH(orders!K$1, products!$A$1:$G$1, 0))</f>
        <v>2.5</v>
      </c>
      <c r="L85" s="6">
        <f>INDEX(products!$A$1:$G$49, MATCH(orders!$D85, products!$A$1:$A$49, 0), MATCH(orders!L$1, products!$A$1:$G$1, 0))</f>
        <v>20.584999999999997</v>
      </c>
      <c r="M85" s="6">
        <f t="shared" si="4"/>
        <v>82.339999999999989</v>
      </c>
      <c r="N85" t="str">
        <f t="shared" si="5"/>
        <v>Robusta</v>
      </c>
      <c r="O85" t="str">
        <f t="shared" si="3"/>
        <v>Dark</v>
      </c>
      <c r="P85" t="str">
        <f>_xlfn.XLOOKUP(Orders[[#This Row],[Customer ID]],customers!$A$1:$A$1001,customers!$I$1:$I$1001,,0)</f>
        <v>Yes</v>
      </c>
    </row>
    <row r="86" spans="1:16" x14ac:dyDescent="0.3">
      <c r="A86" s="2" t="s">
        <v>965</v>
      </c>
      <c r="B86" s="3">
        <v>43783</v>
      </c>
      <c r="C86" s="2" t="s">
        <v>966</v>
      </c>
      <c r="D86" t="s">
        <v>6161</v>
      </c>
      <c r="E86" s="2">
        <v>1</v>
      </c>
      <c r="F86" s="2" t="str">
        <f>_xlfn.XLOOKUP(C86,customers!$A$2:$A$1001,customers!$B$2:$B$1001,,0)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 MATCH(orders!$D86, products!$A$1:$A$49, 0), MATCH(orders!I$1, products!$A$1:$G$1, 0))</f>
        <v>Lib</v>
      </c>
      <c r="J86" t="str">
        <f>INDEX(products!$A$1:$G$49, MATCH(orders!$D86, products!$A$1:$A$49, 0), MATCH(orders!J$1, products!$A$1:$G$1, 0))</f>
        <v>L</v>
      </c>
      <c r="K86" s="5">
        <f>INDEX(products!$A$1:$G$49, MATCH(orders!$D86, products!$A$1:$A$49, 0), MATCH(orders!K$1, products!$A$1:$G$1, 0))</f>
        <v>0.5</v>
      </c>
      <c r="L86" s="6">
        <f>INDEX(products!$A$1:$G$49, MATCH(orders!$D86, products!$A$1:$A$49, 0), MATCH(orders!L$1, products!$A$1:$G$1, 0))</f>
        <v>9.51</v>
      </c>
      <c r="M86" s="6">
        <f t="shared" si="4"/>
        <v>9.51</v>
      </c>
      <c r="N86" t="str">
        <f t="shared" si="5"/>
        <v>Liberica</v>
      </c>
      <c r="O86" t="str">
        <f t="shared" si="3"/>
        <v>Light</v>
      </c>
      <c r="P86" t="str">
        <f>_xlfn.XLOOKUP(Orders[[#This Row],[Customer ID]],customers!$A$1:$A$1001,customers!$I$1:$I$1001,,0)</f>
        <v>No</v>
      </c>
    </row>
    <row r="87" spans="1:16" x14ac:dyDescent="0.3">
      <c r="A87" s="2" t="s">
        <v>971</v>
      </c>
      <c r="B87" s="3">
        <v>43664</v>
      </c>
      <c r="C87" s="2" t="s">
        <v>972</v>
      </c>
      <c r="D87" t="s">
        <v>6182</v>
      </c>
      <c r="E87" s="2">
        <v>3</v>
      </c>
      <c r="F87" s="2" t="str">
        <f>_xlfn.XLOOKUP(C87,customers!$A$2:$A$1001,customers!$B$2:$B$1001,,0)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 MATCH(orders!$D87, products!$A$1:$A$49, 0), MATCH(orders!I$1, products!$A$1:$G$1, 0))</f>
        <v>Ara</v>
      </c>
      <c r="J87" t="str">
        <f>INDEX(products!$A$1:$G$49, MATCH(orders!$D87, products!$A$1:$A$49, 0), MATCH(orders!J$1, products!$A$1:$G$1, 0))</f>
        <v>L</v>
      </c>
      <c r="K87" s="5">
        <f>INDEX(products!$A$1:$G$49, MATCH(orders!$D87, products!$A$1:$A$49, 0), MATCH(orders!K$1, products!$A$1:$G$1, 0))</f>
        <v>2.5</v>
      </c>
      <c r="L87" s="6">
        <f>INDEX(products!$A$1:$G$49, MATCH(orders!$D87, products!$A$1:$A$49, 0), MATCH(orders!L$1, products!$A$1:$G$1, 0))</f>
        <v>29.784999999999997</v>
      </c>
      <c r="M87" s="6">
        <f t="shared" si="4"/>
        <v>89.35499999999999</v>
      </c>
      <c r="N87" t="str">
        <f t="shared" si="5"/>
        <v>Arabica</v>
      </c>
      <c r="O87" t="str">
        <f t="shared" si="3"/>
        <v>Light</v>
      </c>
      <c r="P87" t="str">
        <f>_xlfn.XLOOKUP(Orders[[#This Row],[Customer ID]],customers!$A$1:$A$1001,customers!$I$1:$I$1001,,0)</f>
        <v>No</v>
      </c>
    </row>
    <row r="88" spans="1:16" x14ac:dyDescent="0.3">
      <c r="A88" s="2" t="s">
        <v>971</v>
      </c>
      <c r="B88" s="3">
        <v>43664</v>
      </c>
      <c r="C88" s="2" t="s">
        <v>972</v>
      </c>
      <c r="D88" t="s">
        <v>6154</v>
      </c>
      <c r="E88" s="2">
        <v>4</v>
      </c>
      <c r="F88" s="2" t="str">
        <f>_xlfn.XLOOKUP(C88,customers!$A$2:$A$1001,customers!$B$2:$B$1001,,0)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 MATCH(orders!$D88, products!$A$1:$A$49, 0), MATCH(orders!I$1, products!$A$1:$G$1, 0))</f>
        <v>Ara</v>
      </c>
      <c r="J88" t="str">
        <f>INDEX(products!$A$1:$G$49, MATCH(orders!$D88, products!$A$1:$A$49, 0), MATCH(orders!J$1, products!$A$1:$G$1, 0))</f>
        <v>D</v>
      </c>
      <c r="K88" s="5">
        <f>INDEX(products!$A$1:$G$49, MATCH(orders!$D88, products!$A$1:$A$49, 0), MATCH(orders!K$1, products!$A$1:$G$1, 0))</f>
        <v>0.2</v>
      </c>
      <c r="L88" s="6">
        <f>INDEX(products!$A$1:$G$49, MATCH(orders!$D88, products!$A$1:$A$49, 0), MATCH(orders!L$1, products!$A$1:$G$1, 0))</f>
        <v>2.9849999999999999</v>
      </c>
      <c r="M88" s="6">
        <f t="shared" si="4"/>
        <v>11.94</v>
      </c>
      <c r="N88" t="str">
        <f t="shared" si="5"/>
        <v>Arabica</v>
      </c>
      <c r="O88" t="str">
        <f t="shared" si="3"/>
        <v>Dark</v>
      </c>
      <c r="P88" t="str">
        <f>_xlfn.XLOOKUP(Orders[[#This Row],[Customer ID]],customers!$A$1:$A$1001,customers!$I$1:$I$1001,,0)</f>
        <v>No</v>
      </c>
    </row>
    <row r="89" spans="1:16" x14ac:dyDescent="0.3">
      <c r="A89" s="2" t="s">
        <v>980</v>
      </c>
      <c r="B89" s="3">
        <v>44289</v>
      </c>
      <c r="C89" s="2" t="s">
        <v>981</v>
      </c>
      <c r="D89" t="s">
        <v>6155</v>
      </c>
      <c r="E89" s="2">
        <v>3</v>
      </c>
      <c r="F89" s="2" t="str">
        <f>_xlfn.XLOOKUP(C89,customers!$A$2:$A$1001,customers!$B$2:$B$1001,,0)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 MATCH(orders!$D89, products!$A$1:$A$49, 0), MATCH(orders!I$1, products!$A$1:$G$1, 0))</f>
        <v>Ara</v>
      </c>
      <c r="J89" t="str">
        <f>INDEX(products!$A$1:$G$49, MATCH(orders!$D89, products!$A$1:$A$49, 0), MATCH(orders!J$1, products!$A$1:$G$1, 0))</f>
        <v>M</v>
      </c>
      <c r="K89" s="5">
        <f>INDEX(products!$A$1:$G$49, MATCH(orders!$D89, products!$A$1:$A$49, 0), MATCH(orders!K$1, products!$A$1:$G$1, 0))</f>
        <v>1</v>
      </c>
      <c r="L89" s="6">
        <f>INDEX(products!$A$1:$G$49, MATCH(orders!$D89, products!$A$1:$A$49, 0), MATCH(orders!L$1, products!$A$1:$G$1, 0))</f>
        <v>11.25</v>
      </c>
      <c r="M89" s="6">
        <f t="shared" si="4"/>
        <v>33.75</v>
      </c>
      <c r="N89" t="str">
        <f t="shared" si="5"/>
        <v>Arabica</v>
      </c>
      <c r="O89" t="str">
        <f t="shared" si="3"/>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_xlfn.XLOOKUP(C90,customers!$A$2:$A$1001,customers!$B$2:$B$1001,,0)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 MATCH(orders!$D90, products!$A$1:$A$49, 0), MATCH(orders!I$1, products!$A$1:$G$1, 0))</f>
        <v>Rob</v>
      </c>
      <c r="J90" t="str">
        <f>INDEX(products!$A$1:$G$49, MATCH(orders!$D90, products!$A$1:$A$49, 0), MATCH(orders!J$1, products!$A$1:$G$1, 0))</f>
        <v>L</v>
      </c>
      <c r="K90" s="5">
        <f>INDEX(products!$A$1:$G$49, MATCH(orders!$D90, products!$A$1:$A$49, 0), MATCH(orders!K$1, products!$A$1:$G$1, 0))</f>
        <v>1</v>
      </c>
      <c r="L90" s="6">
        <f>INDEX(products!$A$1:$G$49, MATCH(orders!$D90, products!$A$1:$A$49, 0), MATCH(orders!L$1, products!$A$1:$G$1, 0))</f>
        <v>11.95</v>
      </c>
      <c r="M90" s="6">
        <f t="shared" si="4"/>
        <v>35.849999999999994</v>
      </c>
      <c r="N90" t="str">
        <f t="shared" si="5"/>
        <v>Robusta</v>
      </c>
      <c r="O90" t="str">
        <f t="shared" si="3"/>
        <v>Light</v>
      </c>
      <c r="P90" t="str">
        <f>_xlfn.XLOOKUP(Orders[[#This Row],[Customer ID]],customers!$A$1:$A$1001,customers!$I$1:$I$1001,,0)</f>
        <v>No</v>
      </c>
    </row>
    <row r="91" spans="1:16" x14ac:dyDescent="0.3">
      <c r="A91" s="2" t="s">
        <v>990</v>
      </c>
      <c r="B91" s="3">
        <v>44545</v>
      </c>
      <c r="C91" s="2" t="s">
        <v>991</v>
      </c>
      <c r="D91" t="s">
        <v>6140</v>
      </c>
      <c r="E91" s="2">
        <v>6</v>
      </c>
      <c r="F91" s="2" t="str">
        <f>_xlfn.XLOOKUP(C91,customers!$A$2:$A$1001,customers!$B$2:$B$1001,,0)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 MATCH(orders!$D91, products!$A$1:$A$49, 0), MATCH(orders!I$1, products!$A$1:$G$1, 0))</f>
        <v>Ara</v>
      </c>
      <c r="J91" t="str">
        <f>INDEX(products!$A$1:$G$49, MATCH(orders!$D91, products!$A$1:$A$49, 0), MATCH(orders!J$1, products!$A$1:$G$1, 0))</f>
        <v>L</v>
      </c>
      <c r="K91" s="5">
        <f>INDEX(products!$A$1:$G$49, MATCH(orders!$D91, products!$A$1:$A$49, 0), MATCH(orders!K$1, products!$A$1:$G$1, 0))</f>
        <v>1</v>
      </c>
      <c r="L91" s="6">
        <f>INDEX(products!$A$1:$G$49, MATCH(orders!$D91, products!$A$1:$A$49, 0), MATCH(orders!L$1, products!$A$1:$G$1, 0))</f>
        <v>12.95</v>
      </c>
      <c r="M91" s="6">
        <f t="shared" si="4"/>
        <v>77.699999999999989</v>
      </c>
      <c r="N91" t="str">
        <f t="shared" si="5"/>
        <v>Arabica</v>
      </c>
      <c r="O91" t="str">
        <f t="shared" si="3"/>
        <v>Light</v>
      </c>
      <c r="P91" t="str">
        <f>_xlfn.XLOOKUP(Orders[[#This Row],[Customer ID]],customers!$A$1:$A$1001,customers!$I$1:$I$1001,,0)</f>
        <v>No</v>
      </c>
    </row>
    <row r="92" spans="1:16" x14ac:dyDescent="0.3">
      <c r="A92" s="2" t="s">
        <v>996</v>
      </c>
      <c r="B92" s="3">
        <v>43971</v>
      </c>
      <c r="C92" s="2" t="s">
        <v>997</v>
      </c>
      <c r="D92" t="s">
        <v>6140</v>
      </c>
      <c r="E92" s="2">
        <v>4</v>
      </c>
      <c r="F92" s="2" t="str">
        <f>_xlfn.XLOOKUP(C92,customers!$A$2:$A$1001,customers!$B$2:$B$1001,,0)</f>
        <v>Loydie Langlais</v>
      </c>
      <c r="G92" s="2" t="str">
        <f>IF(_xlfn.XLOOKUP(C92,customers!$A$1:$A$1001,customers!$C$1:$C$1001,,0)=0,"",_xlfn.XLOOKUP(C92,customers!$A$1:$A$1001,customers!$C$1:$C$1001,,0))</f>
        <v/>
      </c>
      <c r="H92" s="2" t="str">
        <f>_xlfn.XLOOKUP(C92,customers!$A$1:$A$1001,customers!$G$1:$G$1001,,0)</f>
        <v>Ireland</v>
      </c>
      <c r="I92" t="str">
        <f>INDEX(products!$A$1:$G$49, MATCH(orders!$D92, products!$A$1:$A$49, 0), MATCH(orders!I$1, products!$A$1:$G$1, 0))</f>
        <v>Ara</v>
      </c>
      <c r="J92" t="str">
        <f>INDEX(products!$A$1:$G$49, MATCH(orders!$D92, products!$A$1:$A$49, 0), MATCH(orders!J$1, products!$A$1:$G$1, 0))</f>
        <v>L</v>
      </c>
      <c r="K92" s="5">
        <f>INDEX(products!$A$1:$G$49, MATCH(orders!$D92, products!$A$1:$A$49, 0), MATCH(orders!K$1, products!$A$1:$G$1, 0))</f>
        <v>1</v>
      </c>
      <c r="L92" s="6">
        <f>INDEX(products!$A$1:$G$49, MATCH(orders!$D92, products!$A$1:$A$49, 0), MATCH(orders!L$1, products!$A$1:$G$1, 0))</f>
        <v>12.95</v>
      </c>
      <c r="M92" s="6">
        <f t="shared" si="4"/>
        <v>51.8</v>
      </c>
      <c r="N92" t="str">
        <f t="shared" si="5"/>
        <v>Arabica</v>
      </c>
      <c r="O92" t="str">
        <f t="shared" si="3"/>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_xlfn.XLOOKUP(C93,customers!$A$2:$A$1001,customers!$B$2:$B$1001,,0)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 MATCH(orders!$D93, products!$A$1:$A$49, 0), MATCH(orders!I$1, products!$A$1:$G$1, 0))</f>
        <v>Ara</v>
      </c>
      <c r="J93" t="str">
        <f>INDEX(products!$A$1:$G$49, MATCH(orders!$D93, products!$A$1:$A$49, 0), MATCH(orders!J$1, products!$A$1:$G$1, 0))</f>
        <v>M</v>
      </c>
      <c r="K93" s="5">
        <f>INDEX(products!$A$1:$G$49, MATCH(orders!$D93, products!$A$1:$A$49, 0), MATCH(orders!K$1, products!$A$1:$G$1, 0))</f>
        <v>2.5</v>
      </c>
      <c r="L93" s="6">
        <f>INDEX(products!$A$1:$G$49, MATCH(orders!$D93, products!$A$1:$A$49, 0), MATCH(orders!L$1, products!$A$1:$G$1, 0))</f>
        <v>25.874999999999996</v>
      </c>
      <c r="M93" s="6">
        <f t="shared" si="4"/>
        <v>103.49999999999999</v>
      </c>
      <c r="N93" t="str">
        <f t="shared" si="5"/>
        <v>Arabica</v>
      </c>
      <c r="O93" t="str">
        <f t="shared" si="3"/>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_xlfn.XLOOKUP(C94,customers!$A$2:$A$1001,customers!$B$2:$B$1001,,0)</f>
        <v>Hamish MacSherry</v>
      </c>
      <c r="G94" s="2" t="str">
        <f>IF(_xlfn.XLOOKUP(C94,customers!$A$1:$A$1001,customers!$C$1:$C$1001,,0)=0,"",_xlfn.XLOOKUP(C94,customers!$A$1:$A$1001,customers!$C$1:$C$1001,,0))</f>
        <v/>
      </c>
      <c r="H94" s="2" t="str">
        <f>_xlfn.XLOOKUP(C94,customers!$A$1:$A$1001,customers!$G$1:$G$1001,,0)</f>
        <v>United States</v>
      </c>
      <c r="I94" t="str">
        <f>INDEX(products!$A$1:$G$49, MATCH(orders!$D94, products!$A$1:$A$49, 0), MATCH(orders!I$1, products!$A$1:$G$1, 0))</f>
        <v>Exc</v>
      </c>
      <c r="J94" t="str">
        <f>INDEX(products!$A$1:$G$49, MATCH(orders!$D94, products!$A$1:$A$49, 0), MATCH(orders!J$1, products!$A$1:$G$1, 0))</f>
        <v>L</v>
      </c>
      <c r="K94" s="5">
        <f>INDEX(products!$A$1:$G$49, MATCH(orders!$D94, products!$A$1:$A$49, 0), MATCH(orders!K$1, products!$A$1:$G$1, 0))</f>
        <v>1</v>
      </c>
      <c r="L94" s="6">
        <f>INDEX(products!$A$1:$G$49, MATCH(orders!$D94, products!$A$1:$A$49, 0), MATCH(orders!L$1, products!$A$1:$G$1, 0))</f>
        <v>14.85</v>
      </c>
      <c r="M94" s="6">
        <f t="shared" si="4"/>
        <v>44.55</v>
      </c>
      <c r="N94" t="str">
        <f t="shared" si="5"/>
        <v>Excelsa</v>
      </c>
      <c r="O94" t="str">
        <f t="shared" si="3"/>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_xlfn.XLOOKUP(C95,customers!$A$2:$A$1001,customers!$B$2:$B$1001,,0)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 MATCH(orders!$D95, products!$A$1:$A$49, 0), MATCH(orders!I$1, products!$A$1:$G$1, 0))</f>
        <v>Exc</v>
      </c>
      <c r="J95" t="str">
        <f>INDEX(products!$A$1:$G$49, MATCH(orders!$D95, products!$A$1:$A$49, 0), MATCH(orders!J$1, products!$A$1:$G$1, 0))</f>
        <v>L</v>
      </c>
      <c r="K95" s="5">
        <f>INDEX(products!$A$1:$G$49, MATCH(orders!$D95, products!$A$1:$A$49, 0), MATCH(orders!K$1, products!$A$1:$G$1, 0))</f>
        <v>0.5</v>
      </c>
      <c r="L95" s="6">
        <f>INDEX(products!$A$1:$G$49, MATCH(orders!$D95, products!$A$1:$A$49, 0), MATCH(orders!L$1, products!$A$1:$G$1, 0))</f>
        <v>8.91</v>
      </c>
      <c r="M95" s="6">
        <f t="shared" si="4"/>
        <v>35.64</v>
      </c>
      <c r="N95" t="str">
        <f t="shared" si="5"/>
        <v>Excelsa</v>
      </c>
      <c r="O95" t="str">
        <f t="shared" si="3"/>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_xlfn.XLOOKUP(C96,customers!$A$2:$A$1001,customers!$B$2:$B$1001,,0)</f>
        <v>Rudy Farquharson</v>
      </c>
      <c r="G96" s="2" t="str">
        <f>IF(_xlfn.XLOOKUP(C96,customers!$A$1:$A$1001,customers!$C$1:$C$1001,,0)=0,"",_xlfn.XLOOKUP(C96,customers!$A$1:$A$1001,customers!$C$1:$C$1001,,0))</f>
        <v/>
      </c>
      <c r="H96" s="2" t="str">
        <f>_xlfn.XLOOKUP(C96,customers!$A$1:$A$1001,customers!$G$1:$G$1001,,0)</f>
        <v>Ireland</v>
      </c>
      <c r="I96" t="str">
        <f>INDEX(products!$A$1:$G$49, MATCH(orders!$D96, products!$A$1:$A$49, 0), MATCH(orders!I$1, products!$A$1:$G$1, 0))</f>
        <v>Ara</v>
      </c>
      <c r="J96" t="str">
        <f>INDEX(products!$A$1:$G$49, MATCH(orders!$D96, products!$A$1:$A$49, 0), MATCH(orders!J$1, products!$A$1:$G$1, 0))</f>
        <v>D</v>
      </c>
      <c r="K96" s="5">
        <f>INDEX(products!$A$1:$G$49, MATCH(orders!$D96, products!$A$1:$A$49, 0), MATCH(orders!K$1, products!$A$1:$G$1, 0))</f>
        <v>0.2</v>
      </c>
      <c r="L96" s="6">
        <f>INDEX(products!$A$1:$G$49, MATCH(orders!$D96, products!$A$1:$A$49, 0), MATCH(orders!L$1, products!$A$1:$G$1, 0))</f>
        <v>2.9849999999999999</v>
      </c>
      <c r="M96" s="6">
        <f t="shared" si="4"/>
        <v>17.91</v>
      </c>
      <c r="N96" t="str">
        <f t="shared" si="5"/>
        <v>Arabica</v>
      </c>
      <c r="O96" t="str">
        <f t="shared" si="3"/>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_xlfn.XLOOKUP(C97,customers!$A$2:$A$1001,customers!$B$2:$B$1001,,0)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 MATCH(orders!$D97, products!$A$1:$A$49, 0), MATCH(orders!I$1, products!$A$1:$G$1, 0))</f>
        <v>Ara</v>
      </c>
      <c r="J97" t="str">
        <f>INDEX(products!$A$1:$G$49, MATCH(orders!$D97, products!$A$1:$A$49, 0), MATCH(orders!J$1, products!$A$1:$G$1, 0))</f>
        <v>M</v>
      </c>
      <c r="K97" s="5">
        <f>INDEX(products!$A$1:$G$49, MATCH(orders!$D97, products!$A$1:$A$49, 0), MATCH(orders!K$1, products!$A$1:$G$1, 0))</f>
        <v>2.5</v>
      </c>
      <c r="L97" s="6">
        <f>INDEX(products!$A$1:$G$49, MATCH(orders!$D97, products!$A$1:$A$49, 0), MATCH(orders!L$1, products!$A$1:$G$1, 0))</f>
        <v>25.874999999999996</v>
      </c>
      <c r="M97" s="6">
        <f t="shared" si="4"/>
        <v>155.24999999999997</v>
      </c>
      <c r="N97" t="str">
        <f t="shared" si="5"/>
        <v>Arabica</v>
      </c>
      <c r="O97" t="str">
        <f t="shared" si="3"/>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_xlfn.XLOOKUP(C98,customers!$A$2:$A$1001,customers!$B$2:$B$1001,,0)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 MATCH(orders!$D98, products!$A$1:$A$49, 0), MATCH(orders!I$1, products!$A$1:$G$1, 0))</f>
        <v>Ara</v>
      </c>
      <c r="J98" t="str">
        <f>INDEX(products!$A$1:$G$49, MATCH(orders!$D98, products!$A$1:$A$49, 0), MATCH(orders!J$1, products!$A$1:$G$1, 0))</f>
        <v>D</v>
      </c>
      <c r="K98" s="5">
        <f>INDEX(products!$A$1:$G$49, MATCH(orders!$D98, products!$A$1:$A$49, 0), MATCH(orders!K$1, products!$A$1:$G$1, 0))</f>
        <v>0.2</v>
      </c>
      <c r="L98" s="6">
        <f>INDEX(products!$A$1:$G$49, MATCH(orders!$D98, products!$A$1:$A$49, 0), MATCH(orders!L$1, products!$A$1:$G$1, 0))</f>
        <v>2.9849999999999999</v>
      </c>
      <c r="M98" s="6">
        <f t="shared" si="4"/>
        <v>5.97</v>
      </c>
      <c r="N98" t="str">
        <f t="shared" si="5"/>
        <v>Arabica</v>
      </c>
      <c r="O98" t="str">
        <f t="shared" si="3"/>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_xlfn.XLOOKUP(C99,customers!$A$2:$A$1001,customers!$B$2:$B$1001,,0)</f>
        <v>Ilysa Whapple</v>
      </c>
      <c r="G99" s="2" t="str">
        <f>IF(_xlfn.XLOOKUP(C99,customers!$A$1:$A$1001,customers!$C$1:$C$1001,,0)=0,"",_xlfn.XLOOKUP(C99,customers!$A$1:$A$1001,customers!$C$1:$C$1001,,0))</f>
        <v>iwhapple2p@com.com</v>
      </c>
      <c r="H99" s="2" t="str">
        <f>_xlfn.XLOOKUP(C99,customers!$A$1:$A$1001,customers!$G$1:$G$1001,,0)</f>
        <v>United States</v>
      </c>
      <c r="I99" t="str">
        <f>INDEX(products!$A$1:$G$49, MATCH(orders!$D99, products!$A$1:$A$49, 0), MATCH(orders!I$1, products!$A$1:$G$1, 0))</f>
        <v>Ara</v>
      </c>
      <c r="J99" t="str">
        <f>INDEX(products!$A$1:$G$49, MATCH(orders!$D99, products!$A$1:$A$49, 0), MATCH(orders!J$1, products!$A$1:$G$1, 0))</f>
        <v>M</v>
      </c>
      <c r="K99" s="5">
        <f>INDEX(products!$A$1:$G$49, MATCH(orders!$D99, products!$A$1:$A$49, 0), MATCH(orders!K$1, products!$A$1:$G$1, 0))</f>
        <v>0.5</v>
      </c>
      <c r="L99" s="6">
        <f>INDEX(products!$A$1:$G$49, MATCH(orders!$D99, products!$A$1:$A$49, 0), MATCH(orders!L$1, products!$A$1:$G$1, 0))</f>
        <v>6.75</v>
      </c>
      <c r="M99" s="6">
        <f t="shared" si="4"/>
        <v>13.5</v>
      </c>
      <c r="N99" t="str">
        <f t="shared" si="5"/>
        <v>Arabica</v>
      </c>
      <c r="O99" t="str">
        <f t="shared" si="3"/>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_xlfn.XLOOKUP(C100,customers!$A$2:$A$1001,customers!$B$2:$B$1001,,0)</f>
        <v>Ruy Cancellieri</v>
      </c>
      <c r="G100" s="2" t="str">
        <f>IF(_xlfn.XLOOKUP(C100,customers!$A$1:$A$1001,customers!$C$1:$C$1001,,0)=0,"",_xlfn.XLOOKUP(C100,customers!$A$1:$A$1001,customers!$C$1:$C$1001,,0))</f>
        <v/>
      </c>
      <c r="H100" s="2" t="str">
        <f>_xlfn.XLOOKUP(C100,customers!$A$1:$A$1001,customers!$G$1:$G$1001,,0)</f>
        <v>Ireland</v>
      </c>
      <c r="I100" t="str">
        <f>INDEX(products!$A$1:$G$49, MATCH(orders!$D100, products!$A$1:$A$49, 0), MATCH(orders!I$1, products!$A$1:$G$1, 0))</f>
        <v>Ara</v>
      </c>
      <c r="J100" t="str">
        <f>INDEX(products!$A$1:$G$49, MATCH(orders!$D100, products!$A$1:$A$49, 0), MATCH(orders!J$1, products!$A$1:$G$1, 0))</f>
        <v>D</v>
      </c>
      <c r="K100" s="5">
        <f>INDEX(products!$A$1:$G$49, MATCH(orders!$D100, products!$A$1:$A$49, 0), MATCH(orders!K$1, products!$A$1:$G$1, 0))</f>
        <v>0.2</v>
      </c>
      <c r="L100" s="6">
        <f>INDEX(products!$A$1:$G$49, MATCH(orders!$D100, products!$A$1:$A$49, 0), MATCH(orders!L$1, products!$A$1:$G$1, 0))</f>
        <v>2.9849999999999999</v>
      </c>
      <c r="M100" s="6">
        <f t="shared" si="4"/>
        <v>2.9849999999999999</v>
      </c>
      <c r="N100" t="str">
        <f t="shared" si="5"/>
        <v>Arabica</v>
      </c>
      <c r="O100" t="str">
        <f t="shared" si="3"/>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_xlfn.XLOOKUP(C101,customers!$A$2:$A$1001,customers!$B$2:$B$1001,,0)</f>
        <v>Aube Follett</v>
      </c>
      <c r="G101" s="2" t="str">
        <f>IF(_xlfn.XLOOKUP(C101,customers!$A$1:$A$1001,customers!$C$1:$C$1001,,0)=0,"",_xlfn.XLOOKUP(C101,customers!$A$1:$A$1001,customers!$C$1:$C$1001,,0))</f>
        <v/>
      </c>
      <c r="H101" s="2" t="str">
        <f>_xlfn.XLOOKUP(C101,customers!$A$1:$A$1001,customers!$G$1:$G$1001,,0)</f>
        <v>United States</v>
      </c>
      <c r="I101" t="str">
        <f>INDEX(products!$A$1:$G$49, MATCH(orders!$D101, products!$A$1:$A$49, 0), MATCH(orders!I$1, products!$A$1:$G$1, 0))</f>
        <v>Lib</v>
      </c>
      <c r="J101" t="str">
        <f>INDEX(products!$A$1:$G$49, MATCH(orders!$D101, products!$A$1:$A$49, 0), MATCH(orders!J$1, products!$A$1:$G$1, 0))</f>
        <v>M</v>
      </c>
      <c r="K101" s="5">
        <f>INDEX(products!$A$1:$G$49, MATCH(orders!$D101, products!$A$1:$A$49, 0), MATCH(orders!K$1, products!$A$1:$G$1, 0))</f>
        <v>0.2</v>
      </c>
      <c r="L101" s="6">
        <f>INDEX(products!$A$1:$G$49, MATCH(orders!$D101, products!$A$1:$A$49, 0), MATCH(orders!L$1, products!$A$1:$G$1, 0))</f>
        <v>4.3650000000000002</v>
      </c>
      <c r="M101" s="6">
        <f t="shared" si="4"/>
        <v>13.095000000000001</v>
      </c>
      <c r="N101" t="str">
        <f t="shared" si="5"/>
        <v>Liberica</v>
      </c>
      <c r="O101" t="str">
        <f t="shared" si="3"/>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_xlfn.XLOOKUP(C102,customers!$A$2:$A$1001,customers!$B$2:$B$1001,,0)</f>
        <v>Rudiger Di Bartolomeo</v>
      </c>
      <c r="G102" s="2" t="str">
        <f>IF(_xlfn.XLOOKUP(C102,customers!$A$1:$A$1001,customers!$C$1:$C$1001,,0)=0,"",_xlfn.XLOOKUP(C102,customers!$A$1:$A$1001,customers!$C$1:$C$1001,,0))</f>
        <v/>
      </c>
      <c r="H102" s="2" t="str">
        <f>_xlfn.XLOOKUP(C102,customers!$A$1:$A$1001,customers!$G$1:$G$1001,,0)</f>
        <v>United States</v>
      </c>
      <c r="I102" t="str">
        <f>INDEX(products!$A$1:$G$49, MATCH(orders!$D102, products!$A$1:$A$49, 0), MATCH(orders!I$1, products!$A$1:$G$1, 0))</f>
        <v>Ara</v>
      </c>
      <c r="J102" t="str">
        <f>INDEX(products!$A$1:$G$49, MATCH(orders!$D102, products!$A$1:$A$49, 0), MATCH(orders!J$1, products!$A$1:$G$1, 0))</f>
        <v>L</v>
      </c>
      <c r="K102" s="5">
        <f>INDEX(products!$A$1:$G$49, MATCH(orders!$D102, products!$A$1:$A$49, 0), MATCH(orders!K$1, products!$A$1:$G$1, 0))</f>
        <v>0.2</v>
      </c>
      <c r="L102" s="6">
        <f>INDEX(products!$A$1:$G$49, MATCH(orders!$D102, products!$A$1:$A$49, 0), MATCH(orders!L$1, products!$A$1:$G$1, 0))</f>
        <v>3.8849999999999998</v>
      </c>
      <c r="M102" s="6">
        <f t="shared" si="4"/>
        <v>7.77</v>
      </c>
      <c r="N102" t="str">
        <f t="shared" si="5"/>
        <v>Arabica</v>
      </c>
      <c r="O102" t="str">
        <f t="shared" si="3"/>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_xlfn.XLOOKUP(C103,customers!$A$2:$A$1001,customers!$B$2:$B$1001,,0)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 MATCH(orders!$D103, products!$A$1:$A$49, 0), MATCH(orders!I$1, products!$A$1:$G$1, 0))</f>
        <v>Lib</v>
      </c>
      <c r="J103" t="str">
        <f>INDEX(products!$A$1:$G$49, MATCH(orders!$D103, products!$A$1:$A$49, 0), MATCH(orders!J$1, products!$A$1:$G$1, 0))</f>
        <v>D</v>
      </c>
      <c r="K103" s="5">
        <f>INDEX(products!$A$1:$G$49, MATCH(orders!$D103, products!$A$1:$A$49, 0), MATCH(orders!K$1, products!$A$1:$G$1, 0))</f>
        <v>2.5</v>
      </c>
      <c r="L103" s="6">
        <f>INDEX(products!$A$1:$G$49, MATCH(orders!$D103, products!$A$1:$A$49, 0), MATCH(orders!L$1, products!$A$1:$G$1, 0))</f>
        <v>29.784999999999997</v>
      </c>
      <c r="M103" s="6">
        <f t="shared" si="4"/>
        <v>148.92499999999998</v>
      </c>
      <c r="N103" t="str">
        <f t="shared" si="5"/>
        <v>Liberica</v>
      </c>
      <c r="O103" t="str">
        <f t="shared" si="3"/>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_xlfn.XLOOKUP(C104,customers!$A$2:$A$1001,customers!$B$2:$B$1001,,0)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 MATCH(orders!$D104, products!$A$1:$A$49, 0), MATCH(orders!I$1, products!$A$1:$G$1, 0))</f>
        <v>Lib</v>
      </c>
      <c r="J104" t="str">
        <f>INDEX(products!$A$1:$G$49, MATCH(orders!$D104, products!$A$1:$A$49, 0), MATCH(orders!J$1, products!$A$1:$G$1, 0))</f>
        <v>D</v>
      </c>
      <c r="K104" s="5">
        <f>INDEX(products!$A$1:$G$49, MATCH(orders!$D104, products!$A$1:$A$49, 0), MATCH(orders!K$1, products!$A$1:$G$1, 0))</f>
        <v>1</v>
      </c>
      <c r="L104" s="6">
        <f>INDEX(products!$A$1:$G$49, MATCH(orders!$D104, products!$A$1:$A$49, 0), MATCH(orders!L$1, products!$A$1:$G$1, 0))</f>
        <v>12.95</v>
      </c>
      <c r="M104" s="6">
        <f t="shared" si="4"/>
        <v>38.849999999999994</v>
      </c>
      <c r="N104" t="str">
        <f t="shared" si="5"/>
        <v>Liberica</v>
      </c>
      <c r="O104" t="str">
        <f t="shared" si="3"/>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_xlfn.XLOOKUP(C105,customers!$A$2:$A$1001,customers!$B$2:$B$1001,,0)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 MATCH(orders!$D105, products!$A$1:$A$49, 0), MATCH(orders!I$1, products!$A$1:$G$1, 0))</f>
        <v>Rob</v>
      </c>
      <c r="J105" t="str">
        <f>INDEX(products!$A$1:$G$49, MATCH(orders!$D105, products!$A$1:$A$49, 0), MATCH(orders!J$1, products!$A$1:$G$1, 0))</f>
        <v>M</v>
      </c>
      <c r="K105" s="5">
        <f>INDEX(products!$A$1:$G$49, MATCH(orders!$D105, products!$A$1:$A$49, 0), MATCH(orders!K$1, products!$A$1:$G$1, 0))</f>
        <v>0.2</v>
      </c>
      <c r="L105" s="6">
        <f>INDEX(products!$A$1:$G$49, MATCH(orders!$D105, products!$A$1:$A$49, 0), MATCH(orders!L$1, products!$A$1:$G$1, 0))</f>
        <v>2.9849999999999999</v>
      </c>
      <c r="M105" s="6">
        <f t="shared" si="4"/>
        <v>11.94</v>
      </c>
      <c r="N105" t="str">
        <f t="shared" si="5"/>
        <v>Robusta</v>
      </c>
      <c r="O105" t="str">
        <f t="shared" si="3"/>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_xlfn.XLOOKUP(C106,customers!$A$2:$A$1001,customers!$B$2:$B$1001,,0)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 MATCH(orders!$D106, products!$A$1:$A$49, 0), MATCH(orders!I$1, products!$A$1:$G$1, 0))</f>
        <v>Lib</v>
      </c>
      <c r="J106" t="str">
        <f>INDEX(products!$A$1:$G$49, MATCH(orders!$D106, products!$A$1:$A$49, 0), MATCH(orders!J$1, products!$A$1:$G$1, 0))</f>
        <v>M</v>
      </c>
      <c r="K106" s="5">
        <f>INDEX(products!$A$1:$G$49, MATCH(orders!$D106, products!$A$1:$A$49, 0), MATCH(orders!K$1, products!$A$1:$G$1, 0))</f>
        <v>1</v>
      </c>
      <c r="L106" s="6">
        <f>INDEX(products!$A$1:$G$49, MATCH(orders!$D106, products!$A$1:$A$49, 0), MATCH(orders!L$1, products!$A$1:$G$1, 0))</f>
        <v>14.55</v>
      </c>
      <c r="M106" s="6">
        <f t="shared" si="4"/>
        <v>87.300000000000011</v>
      </c>
      <c r="N106" t="str">
        <f t="shared" si="5"/>
        <v>Liberica</v>
      </c>
      <c r="O106" t="str">
        <f t="shared" si="3"/>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_xlfn.XLOOKUP(C107,customers!$A$2:$A$1001,customers!$B$2:$B$1001,,0)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 MATCH(orders!$D107, products!$A$1:$A$49, 0), MATCH(orders!I$1, products!$A$1:$G$1, 0))</f>
        <v>Ara</v>
      </c>
      <c r="J107" t="str">
        <f>INDEX(products!$A$1:$G$49, MATCH(orders!$D107, products!$A$1:$A$49, 0), MATCH(orders!J$1, products!$A$1:$G$1, 0))</f>
        <v>M</v>
      </c>
      <c r="K107" s="5">
        <f>INDEX(products!$A$1:$G$49, MATCH(orders!$D107, products!$A$1:$A$49, 0), MATCH(orders!K$1, products!$A$1:$G$1, 0))</f>
        <v>0.5</v>
      </c>
      <c r="L107" s="6">
        <f>INDEX(products!$A$1:$G$49, MATCH(orders!$D107, products!$A$1:$A$49, 0), MATCH(orders!L$1, products!$A$1:$G$1, 0))</f>
        <v>6.75</v>
      </c>
      <c r="M107" s="6">
        <f t="shared" si="4"/>
        <v>40.5</v>
      </c>
      <c r="N107" t="str">
        <f t="shared" si="5"/>
        <v>Arabica</v>
      </c>
      <c r="O107" t="str">
        <f t="shared" si="3"/>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_xlfn.XLOOKUP(C108,customers!$A$2:$A$1001,customers!$B$2:$B$1001,,0)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 MATCH(orders!$D108, products!$A$1:$A$49, 0), MATCH(orders!I$1, products!$A$1:$G$1, 0))</f>
        <v>Exc</v>
      </c>
      <c r="J108" t="str">
        <f>INDEX(products!$A$1:$G$49, MATCH(orders!$D108, products!$A$1:$A$49, 0), MATCH(orders!J$1, products!$A$1:$G$1, 0))</f>
        <v>D</v>
      </c>
      <c r="K108" s="5">
        <f>INDEX(products!$A$1:$G$49, MATCH(orders!$D108, products!$A$1:$A$49, 0), MATCH(orders!K$1, products!$A$1:$G$1, 0))</f>
        <v>1</v>
      </c>
      <c r="L108" s="6">
        <f>INDEX(products!$A$1:$G$49, MATCH(orders!$D108, products!$A$1:$A$49, 0), MATCH(orders!L$1, products!$A$1:$G$1, 0))</f>
        <v>12.15</v>
      </c>
      <c r="M108" s="6">
        <f t="shared" si="4"/>
        <v>24.3</v>
      </c>
      <c r="N108" t="str">
        <f t="shared" si="5"/>
        <v>Excelsa</v>
      </c>
      <c r="O108" t="str">
        <f t="shared" si="3"/>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_xlfn.XLOOKUP(C109,customers!$A$2:$A$1001,customers!$B$2:$B$1001,,0)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 MATCH(orders!$D109, products!$A$1:$A$49, 0), MATCH(orders!I$1, products!$A$1:$G$1, 0))</f>
        <v>Rob</v>
      </c>
      <c r="J109" t="str">
        <f>INDEX(products!$A$1:$G$49, MATCH(orders!$D109, products!$A$1:$A$49, 0), MATCH(orders!J$1, products!$A$1:$G$1, 0))</f>
        <v>M</v>
      </c>
      <c r="K109" s="5">
        <f>INDEX(products!$A$1:$G$49, MATCH(orders!$D109, products!$A$1:$A$49, 0), MATCH(orders!K$1, products!$A$1:$G$1, 0))</f>
        <v>0.5</v>
      </c>
      <c r="L109" s="6">
        <f>INDEX(products!$A$1:$G$49, MATCH(orders!$D109, products!$A$1:$A$49, 0), MATCH(orders!L$1, products!$A$1:$G$1, 0))</f>
        <v>5.97</v>
      </c>
      <c r="M109" s="6">
        <f t="shared" si="4"/>
        <v>17.91</v>
      </c>
      <c r="N109" t="str">
        <f t="shared" si="5"/>
        <v>Robusta</v>
      </c>
      <c r="O109" t="str">
        <f t="shared" si="3"/>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_xlfn.XLOOKUP(C110,customers!$A$2:$A$1001,customers!$B$2:$B$1001,,0)</f>
        <v>Isahella Hagland</v>
      </c>
      <c r="G110" s="2" t="str">
        <f>IF(_xlfn.XLOOKUP(C110,customers!$A$1:$A$1001,customers!$C$1:$C$1001,,0)=0,"",_xlfn.XLOOKUP(C110,customers!$A$1:$A$1001,customers!$C$1:$C$1001,,0))</f>
        <v/>
      </c>
      <c r="H110" s="2" t="str">
        <f>_xlfn.XLOOKUP(C110,customers!$A$1:$A$1001,customers!$G$1:$G$1001,,0)</f>
        <v>United States</v>
      </c>
      <c r="I110" t="str">
        <f>INDEX(products!$A$1:$G$49, MATCH(orders!$D110, products!$A$1:$A$49, 0), MATCH(orders!I$1, products!$A$1:$G$1, 0))</f>
        <v>Ara</v>
      </c>
      <c r="J110" t="str">
        <f>INDEX(products!$A$1:$G$49, MATCH(orders!$D110, products!$A$1:$A$49, 0), MATCH(orders!J$1, products!$A$1:$G$1, 0))</f>
        <v>M</v>
      </c>
      <c r="K110" s="5">
        <f>INDEX(products!$A$1:$G$49, MATCH(orders!$D110, products!$A$1:$A$49, 0), MATCH(orders!K$1, products!$A$1:$G$1, 0))</f>
        <v>0.5</v>
      </c>
      <c r="L110" s="6">
        <f>INDEX(products!$A$1:$G$49, MATCH(orders!$D110, products!$A$1:$A$49, 0), MATCH(orders!L$1, products!$A$1:$G$1, 0))</f>
        <v>6.75</v>
      </c>
      <c r="M110" s="6">
        <f t="shared" si="4"/>
        <v>27</v>
      </c>
      <c r="N110" t="str">
        <f t="shared" si="5"/>
        <v>Arabica</v>
      </c>
      <c r="O110" t="str">
        <f t="shared" si="3"/>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_xlfn.XLOOKUP(C111,customers!$A$2:$A$1001,customers!$B$2:$B$1001,,0)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 MATCH(orders!$D111, products!$A$1:$A$49, 0), MATCH(orders!I$1, products!$A$1:$G$1, 0))</f>
        <v>Lib</v>
      </c>
      <c r="J111" t="str">
        <f>INDEX(products!$A$1:$G$49, MATCH(orders!$D111, products!$A$1:$A$49, 0), MATCH(orders!J$1, products!$A$1:$G$1, 0))</f>
        <v>D</v>
      </c>
      <c r="K111" s="5">
        <f>INDEX(products!$A$1:$G$49, MATCH(orders!$D111, products!$A$1:$A$49, 0), MATCH(orders!K$1, products!$A$1:$G$1, 0))</f>
        <v>0.5</v>
      </c>
      <c r="L111" s="6">
        <f>INDEX(products!$A$1:$G$49, MATCH(orders!$D111, products!$A$1:$A$49, 0), MATCH(orders!L$1, products!$A$1:$G$1, 0))</f>
        <v>7.77</v>
      </c>
      <c r="M111" s="6">
        <f t="shared" si="4"/>
        <v>7.77</v>
      </c>
      <c r="N111" t="str">
        <f t="shared" si="5"/>
        <v>Liberica</v>
      </c>
      <c r="O111" t="str">
        <f t="shared" si="3"/>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_xlfn.XLOOKUP(C112,customers!$A$2:$A$1001,customers!$B$2:$B$1001,,0)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 MATCH(orders!$D112, products!$A$1:$A$49, 0), MATCH(orders!I$1, products!$A$1:$G$1, 0))</f>
        <v>Exc</v>
      </c>
      <c r="J112" t="str">
        <f>INDEX(products!$A$1:$G$49, MATCH(orders!$D112, products!$A$1:$A$49, 0), MATCH(orders!J$1, products!$A$1:$G$1, 0))</f>
        <v>L</v>
      </c>
      <c r="K112" s="5">
        <f>INDEX(products!$A$1:$G$49, MATCH(orders!$D112, products!$A$1:$A$49, 0), MATCH(orders!K$1, products!$A$1:$G$1, 0))</f>
        <v>0.2</v>
      </c>
      <c r="L112" s="6">
        <f>INDEX(products!$A$1:$G$49, MATCH(orders!$D112, products!$A$1:$A$49, 0), MATCH(orders!L$1, products!$A$1:$G$1, 0))</f>
        <v>4.4550000000000001</v>
      </c>
      <c r="M112" s="6">
        <f t="shared" si="4"/>
        <v>13.365</v>
      </c>
      <c r="N112" t="str">
        <f t="shared" si="5"/>
        <v>Excelsa</v>
      </c>
      <c r="O112" t="str">
        <f t="shared" si="3"/>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_xlfn.XLOOKUP(C113,customers!$A$2:$A$1001,customers!$B$2:$B$1001,,0)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 MATCH(orders!$D113, products!$A$1:$A$49, 0), MATCH(orders!I$1, products!$A$1:$G$1, 0))</f>
        <v>Rob</v>
      </c>
      <c r="J113" t="str">
        <f>INDEX(products!$A$1:$G$49, MATCH(orders!$D113, products!$A$1:$A$49, 0), MATCH(orders!J$1, products!$A$1:$G$1, 0))</f>
        <v>D</v>
      </c>
      <c r="K113" s="5">
        <f>INDEX(products!$A$1:$G$49, MATCH(orders!$D113, products!$A$1:$A$49, 0), MATCH(orders!K$1, products!$A$1:$G$1, 0))</f>
        <v>0.5</v>
      </c>
      <c r="L113" s="6">
        <f>INDEX(products!$A$1:$G$49, MATCH(orders!$D113, products!$A$1:$A$49, 0), MATCH(orders!L$1, products!$A$1:$G$1, 0))</f>
        <v>5.3699999999999992</v>
      </c>
      <c r="M113" s="6">
        <f t="shared" si="4"/>
        <v>26.849999999999994</v>
      </c>
      <c r="N113" t="str">
        <f t="shared" si="5"/>
        <v>Robusta</v>
      </c>
      <c r="O113" t="str">
        <f t="shared" si="3"/>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_xlfn.XLOOKUP(C114,customers!$A$2:$A$1001,customers!$B$2:$B$1001,,0)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 MATCH(orders!$D114, products!$A$1:$A$49, 0), MATCH(orders!I$1, products!$A$1:$G$1, 0))</f>
        <v>Ara</v>
      </c>
      <c r="J114" t="str">
        <f>INDEX(products!$A$1:$G$49, MATCH(orders!$D114, products!$A$1:$A$49, 0), MATCH(orders!J$1, products!$A$1:$G$1, 0))</f>
        <v>M</v>
      </c>
      <c r="K114" s="5">
        <f>INDEX(products!$A$1:$G$49, MATCH(orders!$D114, products!$A$1:$A$49, 0), MATCH(orders!K$1, products!$A$1:$G$1, 0))</f>
        <v>1</v>
      </c>
      <c r="L114" s="6">
        <f>INDEX(products!$A$1:$G$49, MATCH(orders!$D114, products!$A$1:$A$49, 0), MATCH(orders!L$1, products!$A$1:$G$1, 0))</f>
        <v>11.25</v>
      </c>
      <c r="M114" s="6">
        <f t="shared" si="4"/>
        <v>11.25</v>
      </c>
      <c r="N114" t="str">
        <f t="shared" si="5"/>
        <v>Arabica</v>
      </c>
      <c r="O114" t="str">
        <f t="shared" si="3"/>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_xlfn.XLOOKUP(C115,customers!$A$2:$A$1001,customers!$B$2:$B$1001,,0)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 MATCH(orders!$D115, products!$A$1:$A$49, 0), MATCH(orders!I$1, products!$A$1:$G$1, 0))</f>
        <v>Lib</v>
      </c>
      <c r="J115" t="str">
        <f>INDEX(products!$A$1:$G$49, MATCH(orders!$D115, products!$A$1:$A$49, 0), MATCH(orders!J$1, products!$A$1:$G$1, 0))</f>
        <v>M</v>
      </c>
      <c r="K115" s="5">
        <f>INDEX(products!$A$1:$G$49, MATCH(orders!$D115, products!$A$1:$A$49, 0), MATCH(orders!K$1, products!$A$1:$G$1, 0))</f>
        <v>1</v>
      </c>
      <c r="L115" s="6">
        <f>INDEX(products!$A$1:$G$49, MATCH(orders!$D115, products!$A$1:$A$49, 0), MATCH(orders!L$1, products!$A$1:$G$1, 0))</f>
        <v>14.55</v>
      </c>
      <c r="M115" s="6">
        <f t="shared" si="4"/>
        <v>14.55</v>
      </c>
      <c r="N115" t="str">
        <f t="shared" si="5"/>
        <v>Liberica</v>
      </c>
      <c r="O115" t="str">
        <f t="shared" si="3"/>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_xlfn.XLOOKUP(C116,customers!$A$2:$A$1001,customers!$B$2:$B$1001,,0)</f>
        <v>Carmina Hubbuck</v>
      </c>
      <c r="G116" s="2" t="str">
        <f>IF(_xlfn.XLOOKUP(C116,customers!$A$1:$A$1001,customers!$C$1:$C$1001,,0)=0,"",_xlfn.XLOOKUP(C116,customers!$A$1:$A$1001,customers!$C$1:$C$1001,,0))</f>
        <v/>
      </c>
      <c r="H116" s="2" t="str">
        <f>_xlfn.XLOOKUP(C116,customers!$A$1:$A$1001,customers!$G$1:$G$1001,,0)</f>
        <v>United States</v>
      </c>
      <c r="I116" t="str">
        <f>INDEX(products!$A$1:$G$49, MATCH(orders!$D116, products!$A$1:$A$49, 0), MATCH(orders!I$1, products!$A$1:$G$1, 0))</f>
        <v>Rob</v>
      </c>
      <c r="J116" t="str">
        <f>INDEX(products!$A$1:$G$49, MATCH(orders!$D116, products!$A$1:$A$49, 0), MATCH(orders!J$1, products!$A$1:$G$1, 0))</f>
        <v>L</v>
      </c>
      <c r="K116" s="5">
        <f>INDEX(products!$A$1:$G$49, MATCH(orders!$D116, products!$A$1:$A$49, 0), MATCH(orders!K$1, products!$A$1:$G$1, 0))</f>
        <v>0.2</v>
      </c>
      <c r="L116" s="6">
        <f>INDEX(products!$A$1:$G$49, MATCH(orders!$D116, products!$A$1:$A$49, 0), MATCH(orders!L$1, products!$A$1:$G$1, 0))</f>
        <v>3.5849999999999995</v>
      </c>
      <c r="M116" s="6">
        <f t="shared" si="4"/>
        <v>14.339999999999998</v>
      </c>
      <c r="N116" t="str">
        <f t="shared" si="5"/>
        <v>Robusta</v>
      </c>
      <c r="O116" t="str">
        <f t="shared" si="3"/>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_xlfn.XLOOKUP(C117,customers!$A$2:$A$1001,customers!$B$2:$B$1001,,0)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 MATCH(orders!$D117, products!$A$1:$A$49, 0), MATCH(orders!I$1, products!$A$1:$G$1, 0))</f>
        <v>Lib</v>
      </c>
      <c r="J117" t="str">
        <f>INDEX(products!$A$1:$G$49, MATCH(orders!$D117, products!$A$1:$A$49, 0), MATCH(orders!J$1, products!$A$1:$G$1, 0))</f>
        <v>L</v>
      </c>
      <c r="K117" s="5">
        <f>INDEX(products!$A$1:$G$49, MATCH(orders!$D117, products!$A$1:$A$49, 0), MATCH(orders!K$1, products!$A$1:$G$1, 0))</f>
        <v>1</v>
      </c>
      <c r="L117" s="6">
        <f>INDEX(products!$A$1:$G$49, MATCH(orders!$D117, products!$A$1:$A$49, 0), MATCH(orders!L$1, products!$A$1:$G$1, 0))</f>
        <v>15.85</v>
      </c>
      <c r="M117" s="6">
        <f t="shared" si="4"/>
        <v>15.85</v>
      </c>
      <c r="N117" t="str">
        <f t="shared" si="5"/>
        <v>Liberica</v>
      </c>
      <c r="O117" t="str">
        <f t="shared" si="3"/>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_xlfn.XLOOKUP(C118,customers!$A$2:$A$1001,customers!$B$2:$B$1001,,0)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 MATCH(orders!$D118, products!$A$1:$A$49, 0), MATCH(orders!I$1, products!$A$1:$G$1, 0))</f>
        <v>Lib</v>
      </c>
      <c r="J118" t="str">
        <f>INDEX(products!$A$1:$G$49, MATCH(orders!$D118, products!$A$1:$A$49, 0), MATCH(orders!J$1, products!$A$1:$G$1, 0))</f>
        <v>L</v>
      </c>
      <c r="K118" s="5">
        <f>INDEX(products!$A$1:$G$49, MATCH(orders!$D118, products!$A$1:$A$49, 0), MATCH(orders!K$1, products!$A$1:$G$1, 0))</f>
        <v>0.2</v>
      </c>
      <c r="L118" s="6">
        <f>INDEX(products!$A$1:$G$49, MATCH(orders!$D118, products!$A$1:$A$49, 0), MATCH(orders!L$1, products!$A$1:$G$1, 0))</f>
        <v>4.7549999999999999</v>
      </c>
      <c r="M118" s="6">
        <f t="shared" si="4"/>
        <v>19.02</v>
      </c>
      <c r="N118" t="str">
        <f t="shared" si="5"/>
        <v>Liberica</v>
      </c>
      <c r="O118" t="str">
        <f t="shared" si="3"/>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_xlfn.XLOOKUP(C119,customers!$A$2:$A$1001,customers!$B$2:$B$1001,,0)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 MATCH(orders!$D119, products!$A$1:$A$49, 0), MATCH(orders!I$1, products!$A$1:$G$1, 0))</f>
        <v>Lib</v>
      </c>
      <c r="J119" t="str">
        <f>INDEX(products!$A$1:$G$49, MATCH(orders!$D119, products!$A$1:$A$49, 0), MATCH(orders!J$1, products!$A$1:$G$1, 0))</f>
        <v>L</v>
      </c>
      <c r="K119" s="5">
        <f>INDEX(products!$A$1:$G$49, MATCH(orders!$D119, products!$A$1:$A$49, 0), MATCH(orders!K$1, products!$A$1:$G$1, 0))</f>
        <v>0.5</v>
      </c>
      <c r="L119" s="6">
        <f>INDEX(products!$A$1:$G$49, MATCH(orders!$D119, products!$A$1:$A$49, 0), MATCH(orders!L$1, products!$A$1:$G$1, 0))</f>
        <v>9.51</v>
      </c>
      <c r="M119" s="6">
        <f t="shared" si="4"/>
        <v>38.04</v>
      </c>
      <c r="N119" t="str">
        <f t="shared" si="5"/>
        <v>Liberica</v>
      </c>
      <c r="O119" t="str">
        <f t="shared" si="3"/>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_xlfn.XLOOKUP(C120,customers!$A$2:$A$1001,customers!$B$2:$B$1001,,0)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 MATCH(orders!$D120, products!$A$1:$A$49, 0), MATCH(orders!I$1, products!$A$1:$G$1, 0))</f>
        <v>Exc</v>
      </c>
      <c r="J120" t="str">
        <f>INDEX(products!$A$1:$G$49, MATCH(orders!$D120, products!$A$1:$A$49, 0), MATCH(orders!J$1, products!$A$1:$G$1, 0))</f>
        <v>D</v>
      </c>
      <c r="K120" s="5">
        <f>INDEX(products!$A$1:$G$49, MATCH(orders!$D120, products!$A$1:$A$49, 0), MATCH(orders!K$1, products!$A$1:$G$1, 0))</f>
        <v>0.5</v>
      </c>
      <c r="L120" s="6">
        <f>INDEX(products!$A$1:$G$49, MATCH(orders!$D120, products!$A$1:$A$49, 0), MATCH(orders!L$1, products!$A$1:$G$1, 0))</f>
        <v>7.29</v>
      </c>
      <c r="M120" s="6">
        <f t="shared" si="4"/>
        <v>21.87</v>
      </c>
      <c r="N120" t="str">
        <f t="shared" si="5"/>
        <v>Excelsa</v>
      </c>
      <c r="O120" t="str">
        <f t="shared" si="3"/>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_xlfn.XLOOKUP(C121,customers!$A$2:$A$1001,customers!$B$2:$B$1001,,0)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 MATCH(orders!$D121, products!$A$1:$A$49, 0), MATCH(orders!I$1, products!$A$1:$G$1, 0))</f>
        <v>Exc</v>
      </c>
      <c r="J121" t="str">
        <f>INDEX(products!$A$1:$G$49, MATCH(orders!$D121, products!$A$1:$A$49, 0), MATCH(orders!J$1, products!$A$1:$G$1, 0))</f>
        <v>M</v>
      </c>
      <c r="K121" s="5">
        <f>INDEX(products!$A$1:$G$49, MATCH(orders!$D121, products!$A$1:$A$49, 0), MATCH(orders!K$1, products!$A$1:$G$1, 0))</f>
        <v>0.2</v>
      </c>
      <c r="L121" s="6">
        <f>INDEX(products!$A$1:$G$49, MATCH(orders!$D121, products!$A$1:$A$49, 0), MATCH(orders!L$1, products!$A$1:$G$1, 0))</f>
        <v>4.125</v>
      </c>
      <c r="M121" s="6">
        <f t="shared" si="4"/>
        <v>4.125</v>
      </c>
      <c r="N121" t="str">
        <f t="shared" si="5"/>
        <v>Excelsa</v>
      </c>
      <c r="O121" t="str">
        <f t="shared" si="3"/>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_xlfn.XLOOKUP(C122,customers!$A$2:$A$1001,customers!$B$2:$B$1001,,0)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 MATCH(orders!$D122, products!$A$1:$A$49, 0), MATCH(orders!I$1, products!$A$1:$G$1, 0))</f>
        <v>Ara</v>
      </c>
      <c r="J122" t="str">
        <f>INDEX(products!$A$1:$G$49, MATCH(orders!$D122, products!$A$1:$A$49, 0), MATCH(orders!J$1, products!$A$1:$G$1, 0))</f>
        <v>L</v>
      </c>
      <c r="K122" s="5">
        <f>INDEX(products!$A$1:$G$49, MATCH(orders!$D122, products!$A$1:$A$49, 0), MATCH(orders!K$1, products!$A$1:$G$1, 0))</f>
        <v>0.2</v>
      </c>
      <c r="L122" s="6">
        <f>INDEX(products!$A$1:$G$49, MATCH(orders!$D122, products!$A$1:$A$49, 0), MATCH(orders!L$1, products!$A$1:$G$1, 0))</f>
        <v>3.8849999999999998</v>
      </c>
      <c r="M122" s="6">
        <f t="shared" si="4"/>
        <v>3.8849999999999998</v>
      </c>
      <c r="N122" t="str">
        <f t="shared" si="5"/>
        <v>Arabica</v>
      </c>
      <c r="O122" t="str">
        <f t="shared" si="3"/>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_xlfn.XLOOKUP(C123,customers!$A$2:$A$1001,customers!$B$2:$B$1001,,0)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 MATCH(orders!$D123, products!$A$1:$A$49, 0), MATCH(orders!I$1, products!$A$1:$G$1, 0))</f>
        <v>Exc</v>
      </c>
      <c r="J123" t="str">
        <f>INDEX(products!$A$1:$G$49, MATCH(orders!$D123, products!$A$1:$A$49, 0), MATCH(orders!J$1, products!$A$1:$G$1, 0))</f>
        <v>M</v>
      </c>
      <c r="K123" s="5">
        <f>INDEX(products!$A$1:$G$49, MATCH(orders!$D123, products!$A$1:$A$49, 0), MATCH(orders!K$1, products!$A$1:$G$1, 0))</f>
        <v>1</v>
      </c>
      <c r="L123" s="6">
        <f>INDEX(products!$A$1:$G$49, MATCH(orders!$D123, products!$A$1:$A$49, 0), MATCH(orders!L$1, products!$A$1:$G$1, 0))</f>
        <v>13.75</v>
      </c>
      <c r="M123" s="6">
        <f t="shared" si="4"/>
        <v>68.75</v>
      </c>
      <c r="N123" t="str">
        <f t="shared" si="5"/>
        <v>Excelsa</v>
      </c>
      <c r="O123" t="str">
        <f t="shared" si="3"/>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_xlfn.XLOOKUP(C124,customers!$A$2:$A$1001,customers!$B$2:$B$1001,,0)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 MATCH(orders!$D124, products!$A$1:$A$49, 0), MATCH(orders!I$1, products!$A$1:$G$1, 0))</f>
        <v>Ara</v>
      </c>
      <c r="J124" t="str">
        <f>INDEX(products!$A$1:$G$49, MATCH(orders!$D124, products!$A$1:$A$49, 0), MATCH(orders!J$1, products!$A$1:$G$1, 0))</f>
        <v>D</v>
      </c>
      <c r="K124" s="5">
        <f>INDEX(products!$A$1:$G$49, MATCH(orders!$D124, products!$A$1:$A$49, 0), MATCH(orders!K$1, products!$A$1:$G$1, 0))</f>
        <v>0.5</v>
      </c>
      <c r="L124" s="6">
        <f>INDEX(products!$A$1:$G$49, MATCH(orders!$D124, products!$A$1:$A$49, 0), MATCH(orders!L$1, products!$A$1:$G$1, 0))</f>
        <v>5.97</v>
      </c>
      <c r="M124" s="6">
        <f t="shared" si="4"/>
        <v>23.88</v>
      </c>
      <c r="N124" t="str">
        <f t="shared" si="5"/>
        <v>Arabica</v>
      </c>
      <c r="O124" t="str">
        <f t="shared" si="3"/>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_xlfn.XLOOKUP(C125,customers!$A$2:$A$1001,customers!$B$2:$B$1001,,0)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 MATCH(orders!$D125, products!$A$1:$A$49, 0), MATCH(orders!I$1, products!$A$1:$G$1, 0))</f>
        <v>Lib</v>
      </c>
      <c r="J125" t="str">
        <f>INDEX(products!$A$1:$G$49, MATCH(orders!$D125, products!$A$1:$A$49, 0), MATCH(orders!J$1, products!$A$1:$G$1, 0))</f>
        <v>L</v>
      </c>
      <c r="K125" s="5">
        <f>INDEX(products!$A$1:$G$49, MATCH(orders!$D125, products!$A$1:$A$49, 0), MATCH(orders!K$1, products!$A$1:$G$1, 0))</f>
        <v>2.5</v>
      </c>
      <c r="L125" s="6">
        <f>INDEX(products!$A$1:$G$49, MATCH(orders!$D125, products!$A$1:$A$49, 0), MATCH(orders!L$1, products!$A$1:$G$1, 0))</f>
        <v>36.454999999999998</v>
      </c>
      <c r="M125" s="6">
        <f t="shared" si="4"/>
        <v>145.82</v>
      </c>
      <c r="N125" t="str">
        <f t="shared" si="5"/>
        <v>Liberica</v>
      </c>
      <c r="O125" t="str">
        <f t="shared" si="3"/>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_xlfn.XLOOKUP(C126,customers!$A$2:$A$1001,customers!$B$2:$B$1001,,0)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 MATCH(orders!$D126, products!$A$1:$A$49, 0), MATCH(orders!I$1, products!$A$1:$G$1, 0))</f>
        <v>Lib</v>
      </c>
      <c r="J126" t="str">
        <f>INDEX(products!$A$1:$G$49, MATCH(orders!$D126, products!$A$1:$A$49, 0), MATCH(orders!J$1, products!$A$1:$G$1, 0))</f>
        <v>M</v>
      </c>
      <c r="K126" s="5">
        <f>INDEX(products!$A$1:$G$49, MATCH(orders!$D126, products!$A$1:$A$49, 0), MATCH(orders!K$1, products!$A$1:$G$1, 0))</f>
        <v>0.2</v>
      </c>
      <c r="L126" s="6">
        <f>INDEX(products!$A$1:$G$49, MATCH(orders!$D126, products!$A$1:$A$49, 0), MATCH(orders!L$1, products!$A$1:$G$1, 0))</f>
        <v>4.3650000000000002</v>
      </c>
      <c r="M126" s="6">
        <f t="shared" si="4"/>
        <v>21.825000000000003</v>
      </c>
      <c r="N126" t="str">
        <f t="shared" si="5"/>
        <v>Liberica</v>
      </c>
      <c r="O126" t="str">
        <f t="shared" si="3"/>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_xlfn.XLOOKUP(C127,customers!$A$2:$A$1001,customers!$B$2:$B$1001,,0)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 MATCH(orders!$D127, products!$A$1:$A$49, 0), MATCH(orders!I$1, products!$A$1:$G$1, 0))</f>
        <v>Lib</v>
      </c>
      <c r="J127" t="str">
        <f>INDEX(products!$A$1:$G$49, MATCH(orders!$D127, products!$A$1:$A$49, 0), MATCH(orders!J$1, products!$A$1:$G$1, 0))</f>
        <v>M</v>
      </c>
      <c r="K127" s="5">
        <f>INDEX(products!$A$1:$G$49, MATCH(orders!$D127, products!$A$1:$A$49, 0), MATCH(orders!K$1, products!$A$1:$G$1, 0))</f>
        <v>0.5</v>
      </c>
      <c r="L127" s="6">
        <f>INDEX(products!$A$1:$G$49, MATCH(orders!$D127, products!$A$1:$A$49, 0), MATCH(orders!L$1, products!$A$1:$G$1, 0))</f>
        <v>8.73</v>
      </c>
      <c r="M127" s="6">
        <f t="shared" si="4"/>
        <v>26.19</v>
      </c>
      <c r="N127" t="str">
        <f t="shared" si="5"/>
        <v>Liberica</v>
      </c>
      <c r="O127" t="str">
        <f t="shared" si="3"/>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_xlfn.XLOOKUP(C128,customers!$A$2:$A$1001,customers!$B$2:$B$1001,,0)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 MATCH(orders!$D128, products!$A$1:$A$49, 0), MATCH(orders!I$1, products!$A$1:$G$1, 0))</f>
        <v>Ara</v>
      </c>
      <c r="J128" t="str">
        <f>INDEX(products!$A$1:$G$49, MATCH(orders!$D128, products!$A$1:$A$49, 0), MATCH(orders!J$1, products!$A$1:$G$1, 0))</f>
        <v>M</v>
      </c>
      <c r="K128" s="5">
        <f>INDEX(products!$A$1:$G$49, MATCH(orders!$D128, products!$A$1:$A$49, 0), MATCH(orders!K$1, products!$A$1:$G$1, 0))</f>
        <v>1</v>
      </c>
      <c r="L128" s="6">
        <f>INDEX(products!$A$1:$G$49, MATCH(orders!$D128, products!$A$1:$A$49, 0), MATCH(orders!L$1, products!$A$1:$G$1, 0))</f>
        <v>11.25</v>
      </c>
      <c r="M128" s="6">
        <f t="shared" si="4"/>
        <v>11.25</v>
      </c>
      <c r="N128" t="str">
        <f t="shared" si="5"/>
        <v>Arabica</v>
      </c>
      <c r="O128" t="str">
        <f t="shared" si="3"/>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_xlfn.XLOOKUP(C129,customers!$A$2:$A$1001,customers!$B$2:$B$1001,,0)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 MATCH(orders!$D129, products!$A$1:$A$49, 0), MATCH(orders!I$1, products!$A$1:$G$1, 0))</f>
        <v>Lib</v>
      </c>
      <c r="J129" t="str">
        <f>INDEX(products!$A$1:$G$49, MATCH(orders!$D129, products!$A$1:$A$49, 0), MATCH(orders!J$1, products!$A$1:$G$1, 0))</f>
        <v>D</v>
      </c>
      <c r="K129" s="5">
        <f>INDEX(products!$A$1:$G$49, MATCH(orders!$D129, products!$A$1:$A$49, 0), MATCH(orders!K$1, products!$A$1:$G$1, 0))</f>
        <v>1</v>
      </c>
      <c r="L129" s="6">
        <f>INDEX(products!$A$1:$G$49, MATCH(orders!$D129, products!$A$1:$A$49, 0), MATCH(orders!L$1, products!$A$1:$G$1, 0))</f>
        <v>12.95</v>
      </c>
      <c r="M129" s="6">
        <f t="shared" si="4"/>
        <v>77.699999999999989</v>
      </c>
      <c r="N129" t="str">
        <f t="shared" si="5"/>
        <v>Liberica</v>
      </c>
      <c r="O129" t="str">
        <f t="shared" si="3"/>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_xlfn.XLOOKUP(C130,customers!$A$2:$A$1001,customers!$B$2:$B$1001,,0)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 MATCH(orders!$D130, products!$A$1:$A$49, 0), MATCH(orders!I$1, products!$A$1:$G$1, 0))</f>
        <v>Ara</v>
      </c>
      <c r="J130" t="str">
        <f>INDEX(products!$A$1:$G$49, MATCH(orders!$D130, products!$A$1:$A$49, 0), MATCH(orders!J$1, products!$A$1:$G$1, 0))</f>
        <v>M</v>
      </c>
      <c r="K130" s="5">
        <f>INDEX(products!$A$1:$G$49, MATCH(orders!$D130, products!$A$1:$A$49, 0), MATCH(orders!K$1, products!$A$1:$G$1, 0))</f>
        <v>0.5</v>
      </c>
      <c r="L130" s="6">
        <f>INDEX(products!$A$1:$G$49, MATCH(orders!$D130, products!$A$1:$A$49, 0), MATCH(orders!L$1, products!$A$1:$G$1, 0))</f>
        <v>6.75</v>
      </c>
      <c r="M130" s="6">
        <f t="shared" si="4"/>
        <v>6.75</v>
      </c>
      <c r="N130" t="str">
        <f t="shared" si="5"/>
        <v>Arabica</v>
      </c>
      <c r="O130" t="str">
        <f t="shared" ref="O130:O193" si="6">IF(J130="M","Medium",IF(J130="l","Light",IF(J130="d","Dark","")))</f>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_xlfn.XLOOKUP(C131,customers!$A$2:$A$1001,customers!$B$2:$B$1001,,0)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 MATCH(orders!$D131, products!$A$1:$A$49, 0), MATCH(orders!I$1, products!$A$1:$G$1, 0))</f>
        <v>Exc</v>
      </c>
      <c r="J131" t="str">
        <f>INDEX(products!$A$1:$G$49, MATCH(orders!$D131, products!$A$1:$A$49, 0), MATCH(orders!J$1, products!$A$1:$G$1, 0))</f>
        <v>D</v>
      </c>
      <c r="K131" s="5">
        <f>INDEX(products!$A$1:$G$49, MATCH(orders!$D131, products!$A$1:$A$49, 0), MATCH(orders!K$1, products!$A$1:$G$1, 0))</f>
        <v>1</v>
      </c>
      <c r="L131" s="6">
        <f>INDEX(products!$A$1:$G$49, MATCH(orders!$D131, products!$A$1:$A$49, 0), MATCH(orders!L$1, products!$A$1:$G$1, 0))</f>
        <v>12.15</v>
      </c>
      <c r="M131" s="6">
        <f t="shared" ref="M131:M194" si="7">L131*E131</f>
        <v>12.15</v>
      </c>
      <c r="N131" t="str">
        <f t="shared" ref="N131:N194" si="8">IF(I131="Rob","Robusta",IF(I131="Exc","Excelsa",IF(I131="Ara","Arabica",IF(I131="lib","Liberica",""))))</f>
        <v>Excelsa</v>
      </c>
      <c r="O131" t="str">
        <f t="shared" si="6"/>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_xlfn.XLOOKUP(C132,customers!$A$2:$A$1001,customers!$B$2:$B$1001,,0)</f>
        <v>Bidget Tremellier</v>
      </c>
      <c r="G132" s="2" t="str">
        <f>IF(_xlfn.XLOOKUP(C132,customers!$A$1:$A$1001,customers!$C$1:$C$1001,,0)=0,"",_xlfn.XLOOKUP(C132,customers!$A$1:$A$1001,customers!$C$1:$C$1001,,0))</f>
        <v/>
      </c>
      <c r="H132" s="2" t="str">
        <f>_xlfn.XLOOKUP(C132,customers!$A$1:$A$1001,customers!$G$1:$G$1001,,0)</f>
        <v>Ireland</v>
      </c>
      <c r="I132" t="str">
        <f>INDEX(products!$A$1:$G$49, MATCH(orders!$D132, products!$A$1:$A$49, 0), MATCH(orders!I$1, products!$A$1:$G$1, 0))</f>
        <v>Ara</v>
      </c>
      <c r="J132" t="str">
        <f>INDEX(products!$A$1:$G$49, MATCH(orders!$D132, products!$A$1:$A$49, 0), MATCH(orders!J$1, products!$A$1:$G$1, 0))</f>
        <v>L</v>
      </c>
      <c r="K132" s="5">
        <f>INDEX(products!$A$1:$G$49, MATCH(orders!$D132, products!$A$1:$A$49, 0), MATCH(orders!K$1, products!$A$1:$G$1, 0))</f>
        <v>2.5</v>
      </c>
      <c r="L132" s="6">
        <f>INDEX(products!$A$1:$G$49, MATCH(orders!$D132, products!$A$1:$A$49, 0), MATCH(orders!L$1, products!$A$1:$G$1, 0))</f>
        <v>29.784999999999997</v>
      </c>
      <c r="M132" s="6">
        <f t="shared" si="7"/>
        <v>148.92499999999998</v>
      </c>
      <c r="N132" t="str">
        <f t="shared" si="8"/>
        <v>Arabica</v>
      </c>
      <c r="O132" t="str">
        <f t="shared" si="6"/>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_xlfn.XLOOKUP(C133,customers!$A$2:$A$1001,customers!$B$2:$B$1001,,0)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 MATCH(orders!$D133, products!$A$1:$A$49, 0), MATCH(orders!I$1, products!$A$1:$G$1, 0))</f>
        <v>Exc</v>
      </c>
      <c r="J133" t="str">
        <f>INDEX(products!$A$1:$G$49, MATCH(orders!$D133, products!$A$1:$A$49, 0), MATCH(orders!J$1, products!$A$1:$G$1, 0))</f>
        <v>D</v>
      </c>
      <c r="K133" s="5">
        <f>INDEX(products!$A$1:$G$49, MATCH(orders!$D133, products!$A$1:$A$49, 0), MATCH(orders!K$1, products!$A$1:$G$1, 0))</f>
        <v>0.5</v>
      </c>
      <c r="L133" s="6">
        <f>INDEX(products!$A$1:$G$49, MATCH(orders!$D133, products!$A$1:$A$49, 0), MATCH(orders!L$1, products!$A$1:$G$1, 0))</f>
        <v>7.29</v>
      </c>
      <c r="M133" s="6">
        <f t="shared" si="7"/>
        <v>14.58</v>
      </c>
      <c r="N133" t="str">
        <f t="shared" si="8"/>
        <v>Excelsa</v>
      </c>
      <c r="O133" t="str">
        <f t="shared" si="6"/>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_xlfn.XLOOKUP(C134,customers!$A$2:$A$1001,customers!$B$2:$B$1001,,0)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 MATCH(orders!$D134, products!$A$1:$A$49, 0), MATCH(orders!I$1, products!$A$1:$G$1, 0))</f>
        <v>Ara</v>
      </c>
      <c r="J134" t="str">
        <f>INDEX(products!$A$1:$G$49, MATCH(orders!$D134, products!$A$1:$A$49, 0), MATCH(orders!J$1, products!$A$1:$G$1, 0))</f>
        <v>L</v>
      </c>
      <c r="K134" s="5">
        <f>INDEX(products!$A$1:$G$49, MATCH(orders!$D134, products!$A$1:$A$49, 0), MATCH(orders!K$1, products!$A$1:$G$1, 0))</f>
        <v>2.5</v>
      </c>
      <c r="L134" s="6">
        <f>INDEX(products!$A$1:$G$49, MATCH(orders!$D134, products!$A$1:$A$49, 0), MATCH(orders!L$1, products!$A$1:$G$1, 0))</f>
        <v>29.784999999999997</v>
      </c>
      <c r="M134" s="6">
        <f t="shared" si="7"/>
        <v>148.92499999999998</v>
      </c>
      <c r="N134" t="str">
        <f t="shared" si="8"/>
        <v>Arabica</v>
      </c>
      <c r="O134" t="str">
        <f t="shared" si="6"/>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_xlfn.XLOOKUP(C135,customers!$A$2:$A$1001,customers!$B$2:$B$1001,,0)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 MATCH(orders!$D135, products!$A$1:$A$49, 0), MATCH(orders!I$1, products!$A$1:$G$1, 0))</f>
        <v>Lib</v>
      </c>
      <c r="J135" t="str">
        <f>INDEX(products!$A$1:$G$49, MATCH(orders!$D135, products!$A$1:$A$49, 0), MATCH(orders!J$1, products!$A$1:$G$1, 0))</f>
        <v>D</v>
      </c>
      <c r="K135" s="5">
        <f>INDEX(products!$A$1:$G$49, MATCH(orders!$D135, products!$A$1:$A$49, 0), MATCH(orders!K$1, products!$A$1:$G$1, 0))</f>
        <v>1</v>
      </c>
      <c r="L135" s="6">
        <f>INDEX(products!$A$1:$G$49, MATCH(orders!$D135, products!$A$1:$A$49, 0), MATCH(orders!L$1, products!$A$1:$G$1, 0))</f>
        <v>12.95</v>
      </c>
      <c r="M135" s="6">
        <f t="shared" si="7"/>
        <v>12.95</v>
      </c>
      <c r="N135" t="str">
        <f t="shared" si="8"/>
        <v>Liberica</v>
      </c>
      <c r="O135" t="str">
        <f t="shared" si="6"/>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_xlfn.XLOOKUP(C136,customers!$A$2:$A$1001,customers!$B$2:$B$1001,,0)</f>
        <v>Ewell Hanby</v>
      </c>
      <c r="G136" s="2" t="str">
        <f>IF(_xlfn.XLOOKUP(C136,customers!$A$1:$A$1001,customers!$C$1:$C$1001,,0)=0,"",_xlfn.XLOOKUP(C136,customers!$A$1:$A$1001,customers!$C$1:$C$1001,,0))</f>
        <v/>
      </c>
      <c r="H136" s="2" t="str">
        <f>_xlfn.XLOOKUP(C136,customers!$A$1:$A$1001,customers!$G$1:$G$1001,,0)</f>
        <v>United States</v>
      </c>
      <c r="I136" t="str">
        <f>INDEX(products!$A$1:$G$49, MATCH(orders!$D136, products!$A$1:$A$49, 0), MATCH(orders!I$1, products!$A$1:$G$1, 0))</f>
        <v>Exc</v>
      </c>
      <c r="J136" t="str">
        <f>INDEX(products!$A$1:$G$49, MATCH(orders!$D136, products!$A$1:$A$49, 0), MATCH(orders!J$1, products!$A$1:$G$1, 0))</f>
        <v>M</v>
      </c>
      <c r="K136" s="5">
        <f>INDEX(products!$A$1:$G$49, MATCH(orders!$D136, products!$A$1:$A$49, 0), MATCH(orders!K$1, products!$A$1:$G$1, 0))</f>
        <v>2.5</v>
      </c>
      <c r="L136" s="6">
        <f>INDEX(products!$A$1:$G$49, MATCH(orders!$D136, products!$A$1:$A$49, 0), MATCH(orders!L$1, products!$A$1:$G$1, 0))</f>
        <v>31.624999999999996</v>
      </c>
      <c r="M136" s="6">
        <f t="shared" si="7"/>
        <v>94.874999999999986</v>
      </c>
      <c r="N136" t="str">
        <f t="shared" si="8"/>
        <v>Excelsa</v>
      </c>
      <c r="O136" t="str">
        <f t="shared" si="6"/>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_xlfn.XLOOKUP(C137,customers!$A$2:$A$1001,customers!$B$2:$B$1001,,0)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 MATCH(orders!$D137, products!$A$1:$A$49, 0), MATCH(orders!I$1, products!$A$1:$G$1, 0))</f>
        <v>Ara</v>
      </c>
      <c r="J137" t="str">
        <f>INDEX(products!$A$1:$G$49, MATCH(orders!$D137, products!$A$1:$A$49, 0), MATCH(orders!J$1, products!$A$1:$G$1, 0))</f>
        <v>L</v>
      </c>
      <c r="K137" s="5">
        <f>INDEX(products!$A$1:$G$49, MATCH(orders!$D137, products!$A$1:$A$49, 0), MATCH(orders!K$1, products!$A$1:$G$1, 0))</f>
        <v>0.5</v>
      </c>
      <c r="L137" s="6">
        <f>INDEX(products!$A$1:$G$49, MATCH(orders!$D137, products!$A$1:$A$49, 0), MATCH(orders!L$1, products!$A$1:$G$1, 0))</f>
        <v>7.77</v>
      </c>
      <c r="M137" s="6">
        <f t="shared" si="7"/>
        <v>38.849999999999994</v>
      </c>
      <c r="N137" t="str">
        <f t="shared" si="8"/>
        <v>Arabica</v>
      </c>
      <c r="O137" t="str">
        <f t="shared" si="6"/>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_xlfn.XLOOKUP(C138,customers!$A$2:$A$1001,customers!$B$2:$B$1001,,0)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 MATCH(orders!$D138, products!$A$1:$A$49, 0), MATCH(orders!I$1, products!$A$1:$G$1, 0))</f>
        <v>Ara</v>
      </c>
      <c r="J138" t="str">
        <f>INDEX(products!$A$1:$G$49, MATCH(orders!$D138, products!$A$1:$A$49, 0), MATCH(orders!J$1, products!$A$1:$G$1, 0))</f>
        <v>D</v>
      </c>
      <c r="K138" s="5">
        <f>INDEX(products!$A$1:$G$49, MATCH(orders!$D138, products!$A$1:$A$49, 0), MATCH(orders!K$1, products!$A$1:$G$1, 0))</f>
        <v>0.2</v>
      </c>
      <c r="L138" s="6">
        <f>INDEX(products!$A$1:$G$49, MATCH(orders!$D138, products!$A$1:$A$49, 0), MATCH(orders!L$1, products!$A$1:$G$1, 0))</f>
        <v>2.9849999999999999</v>
      </c>
      <c r="M138" s="6">
        <f t="shared" si="7"/>
        <v>11.94</v>
      </c>
      <c r="N138" t="str">
        <f t="shared" si="8"/>
        <v>Arabica</v>
      </c>
      <c r="O138" t="str">
        <f t="shared" si="6"/>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_xlfn.XLOOKUP(C139,customers!$A$2:$A$1001,customers!$B$2:$B$1001,,0)</f>
        <v>Elonore Joliffe</v>
      </c>
      <c r="G139" s="2" t="str">
        <f>IF(_xlfn.XLOOKUP(C139,customers!$A$1:$A$1001,customers!$C$1:$C$1001,,0)=0,"",_xlfn.XLOOKUP(C139,customers!$A$1:$A$1001,customers!$C$1:$C$1001,,0))</f>
        <v/>
      </c>
      <c r="H139" s="2" t="str">
        <f>_xlfn.XLOOKUP(C139,customers!$A$1:$A$1001,customers!$G$1:$G$1001,,0)</f>
        <v>Ireland</v>
      </c>
      <c r="I139" t="str">
        <f>INDEX(products!$A$1:$G$49, MATCH(orders!$D139, products!$A$1:$A$49, 0), MATCH(orders!I$1, products!$A$1:$G$1, 0))</f>
        <v>Exc</v>
      </c>
      <c r="J139" t="str">
        <f>INDEX(products!$A$1:$G$49, MATCH(orders!$D139, products!$A$1:$A$49, 0), MATCH(orders!J$1, products!$A$1:$G$1, 0))</f>
        <v>L</v>
      </c>
      <c r="K139" s="5">
        <f>INDEX(products!$A$1:$G$49, MATCH(orders!$D139, products!$A$1:$A$49, 0), MATCH(orders!K$1, products!$A$1:$G$1, 0))</f>
        <v>2.5</v>
      </c>
      <c r="L139" s="6">
        <f>INDEX(products!$A$1:$G$49, MATCH(orders!$D139, products!$A$1:$A$49, 0), MATCH(orders!L$1, products!$A$1:$G$1, 0))</f>
        <v>34.154999999999994</v>
      </c>
      <c r="M139" s="6">
        <f t="shared" si="7"/>
        <v>102.46499999999997</v>
      </c>
      <c r="N139" t="str">
        <f t="shared" si="8"/>
        <v>Excelsa</v>
      </c>
      <c r="O139" t="str">
        <f t="shared" si="6"/>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_xlfn.XLOOKUP(C140,customers!$A$2:$A$1001,customers!$B$2:$B$1001,,0)</f>
        <v>Abraham Coleman</v>
      </c>
      <c r="G140" s="2" t="str">
        <f>IF(_xlfn.XLOOKUP(C140,customers!$A$1:$A$1001,customers!$C$1:$C$1001,,0)=0,"",_xlfn.XLOOKUP(C140,customers!$A$1:$A$1001,customers!$C$1:$C$1001,,0))</f>
        <v/>
      </c>
      <c r="H140" s="2" t="str">
        <f>_xlfn.XLOOKUP(C140,customers!$A$1:$A$1001,customers!$G$1:$G$1001,,0)</f>
        <v>United States</v>
      </c>
      <c r="I140" t="str">
        <f>INDEX(products!$A$1:$G$49, MATCH(orders!$D140, products!$A$1:$A$49, 0), MATCH(orders!I$1, products!$A$1:$G$1, 0))</f>
        <v>Exc</v>
      </c>
      <c r="J140" t="str">
        <f>INDEX(products!$A$1:$G$49, MATCH(orders!$D140, products!$A$1:$A$49, 0), MATCH(orders!J$1, products!$A$1:$G$1, 0))</f>
        <v>D</v>
      </c>
      <c r="K140" s="5">
        <f>INDEX(products!$A$1:$G$49, MATCH(orders!$D140, products!$A$1:$A$49, 0), MATCH(orders!K$1, products!$A$1:$G$1, 0))</f>
        <v>1</v>
      </c>
      <c r="L140" s="6">
        <f>INDEX(products!$A$1:$G$49, MATCH(orders!$D140, products!$A$1:$A$49, 0), MATCH(orders!L$1, products!$A$1:$G$1, 0))</f>
        <v>12.15</v>
      </c>
      <c r="M140" s="6">
        <f t="shared" si="7"/>
        <v>48.6</v>
      </c>
      <c r="N140" t="str">
        <f t="shared" si="8"/>
        <v>Excelsa</v>
      </c>
      <c r="O140" t="str">
        <f t="shared" si="6"/>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_xlfn.XLOOKUP(C141,customers!$A$2:$A$1001,customers!$B$2:$B$1001,,0)</f>
        <v>Rivy Farington</v>
      </c>
      <c r="G141" s="2" t="str">
        <f>IF(_xlfn.XLOOKUP(C141,customers!$A$1:$A$1001,customers!$C$1:$C$1001,,0)=0,"",_xlfn.XLOOKUP(C141,customers!$A$1:$A$1001,customers!$C$1:$C$1001,,0))</f>
        <v/>
      </c>
      <c r="H141" s="2" t="str">
        <f>_xlfn.XLOOKUP(C141,customers!$A$1:$A$1001,customers!$G$1:$G$1001,,0)</f>
        <v>United States</v>
      </c>
      <c r="I141" t="str">
        <f>INDEX(products!$A$1:$G$49, MATCH(orders!$D141, products!$A$1:$A$49, 0), MATCH(orders!I$1, products!$A$1:$G$1, 0))</f>
        <v>Lib</v>
      </c>
      <c r="J141" t="str">
        <f>INDEX(products!$A$1:$G$49, MATCH(orders!$D141, products!$A$1:$A$49, 0), MATCH(orders!J$1, products!$A$1:$G$1, 0))</f>
        <v>D</v>
      </c>
      <c r="K141" s="5">
        <f>INDEX(products!$A$1:$G$49, MATCH(orders!$D141, products!$A$1:$A$49, 0), MATCH(orders!K$1, products!$A$1:$G$1, 0))</f>
        <v>1</v>
      </c>
      <c r="L141" s="6">
        <f>INDEX(products!$A$1:$G$49, MATCH(orders!$D141, products!$A$1:$A$49, 0), MATCH(orders!L$1, products!$A$1:$G$1, 0))</f>
        <v>12.95</v>
      </c>
      <c r="M141" s="6">
        <f t="shared" si="7"/>
        <v>77.699999999999989</v>
      </c>
      <c r="N141" t="str">
        <f t="shared" si="8"/>
        <v>Liberica</v>
      </c>
      <c r="O141" t="str">
        <f t="shared" si="6"/>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_xlfn.XLOOKUP(C142,customers!$A$2:$A$1001,customers!$B$2:$B$1001,,0)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 MATCH(orders!$D142, products!$A$1:$A$49, 0), MATCH(orders!I$1, products!$A$1:$G$1, 0))</f>
        <v>Lib</v>
      </c>
      <c r="J142" t="str">
        <f>INDEX(products!$A$1:$G$49, MATCH(orders!$D142, products!$A$1:$A$49, 0), MATCH(orders!J$1, products!$A$1:$G$1, 0))</f>
        <v>D</v>
      </c>
      <c r="K142" s="5">
        <f>INDEX(products!$A$1:$G$49, MATCH(orders!$D142, products!$A$1:$A$49, 0), MATCH(orders!K$1, products!$A$1:$G$1, 0))</f>
        <v>2.5</v>
      </c>
      <c r="L142" s="6">
        <f>INDEX(products!$A$1:$G$49, MATCH(orders!$D142, products!$A$1:$A$49, 0), MATCH(orders!L$1, products!$A$1:$G$1, 0))</f>
        <v>29.784999999999997</v>
      </c>
      <c r="M142" s="6">
        <f t="shared" si="7"/>
        <v>29.784999999999997</v>
      </c>
      <c r="N142" t="str">
        <f t="shared" si="8"/>
        <v>Liberica</v>
      </c>
      <c r="O142" t="str">
        <f t="shared" si="6"/>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_xlfn.XLOOKUP(C143,customers!$A$2:$A$1001,customers!$B$2:$B$1001,,0)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 MATCH(orders!$D143, products!$A$1:$A$49, 0), MATCH(orders!I$1, products!$A$1:$G$1, 0))</f>
        <v>Ara</v>
      </c>
      <c r="J143" t="str">
        <f>INDEX(products!$A$1:$G$49, MATCH(orders!$D143, products!$A$1:$A$49, 0), MATCH(orders!J$1, products!$A$1:$G$1, 0))</f>
        <v>L</v>
      </c>
      <c r="K143" s="5">
        <f>INDEX(products!$A$1:$G$49, MATCH(orders!$D143, products!$A$1:$A$49, 0), MATCH(orders!K$1, products!$A$1:$G$1, 0))</f>
        <v>0.2</v>
      </c>
      <c r="L143" s="6">
        <f>INDEX(products!$A$1:$G$49, MATCH(orders!$D143, products!$A$1:$A$49, 0), MATCH(orders!L$1, products!$A$1:$G$1, 0))</f>
        <v>3.8849999999999998</v>
      </c>
      <c r="M143" s="6">
        <f t="shared" si="7"/>
        <v>15.54</v>
      </c>
      <c r="N143" t="str">
        <f t="shared" si="8"/>
        <v>Arabica</v>
      </c>
      <c r="O143" t="str">
        <f t="shared" si="6"/>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_xlfn.XLOOKUP(C144,customers!$A$2:$A$1001,customers!$B$2:$B$1001,,0)</f>
        <v>Julio Armytage</v>
      </c>
      <c r="G144" s="2" t="str">
        <f>IF(_xlfn.XLOOKUP(C144,customers!$A$1:$A$1001,customers!$C$1:$C$1001,,0)=0,"",_xlfn.XLOOKUP(C144,customers!$A$1:$A$1001,customers!$C$1:$C$1001,,0))</f>
        <v/>
      </c>
      <c r="H144" s="2" t="str">
        <f>_xlfn.XLOOKUP(C144,customers!$A$1:$A$1001,customers!$G$1:$G$1001,,0)</f>
        <v>Ireland</v>
      </c>
      <c r="I144" t="str">
        <f>INDEX(products!$A$1:$G$49, MATCH(orders!$D144, products!$A$1:$A$49, 0), MATCH(orders!I$1, products!$A$1:$G$1, 0))</f>
        <v>Exc</v>
      </c>
      <c r="J144" t="str">
        <f>INDEX(products!$A$1:$G$49, MATCH(orders!$D144, products!$A$1:$A$49, 0), MATCH(orders!J$1, products!$A$1:$G$1, 0))</f>
        <v>L</v>
      </c>
      <c r="K144" s="5">
        <f>INDEX(products!$A$1:$G$49, MATCH(orders!$D144, products!$A$1:$A$49, 0), MATCH(orders!K$1, products!$A$1:$G$1, 0))</f>
        <v>2.5</v>
      </c>
      <c r="L144" s="6">
        <f>INDEX(products!$A$1:$G$49, MATCH(orders!$D144, products!$A$1:$A$49, 0), MATCH(orders!L$1, products!$A$1:$G$1, 0))</f>
        <v>34.154999999999994</v>
      </c>
      <c r="M144" s="6">
        <f t="shared" si="7"/>
        <v>136.61999999999998</v>
      </c>
      <c r="N144" t="str">
        <f t="shared" si="8"/>
        <v>Excelsa</v>
      </c>
      <c r="O144" t="str">
        <f t="shared" si="6"/>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_xlfn.XLOOKUP(C145,customers!$A$2:$A$1001,customers!$B$2:$B$1001,,0)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 MATCH(orders!$D145, products!$A$1:$A$49, 0), MATCH(orders!I$1, products!$A$1:$G$1, 0))</f>
        <v>Lib</v>
      </c>
      <c r="J145" t="str">
        <f>INDEX(products!$A$1:$G$49, MATCH(orders!$D145, products!$A$1:$A$49, 0), MATCH(orders!J$1, products!$A$1:$G$1, 0))</f>
        <v>M</v>
      </c>
      <c r="K145" s="5">
        <f>INDEX(products!$A$1:$G$49, MATCH(orders!$D145, products!$A$1:$A$49, 0), MATCH(orders!K$1, products!$A$1:$G$1, 0))</f>
        <v>0.5</v>
      </c>
      <c r="L145" s="6">
        <f>INDEX(products!$A$1:$G$49, MATCH(orders!$D145, products!$A$1:$A$49, 0), MATCH(orders!L$1, products!$A$1:$G$1, 0))</f>
        <v>8.73</v>
      </c>
      <c r="M145" s="6">
        <f t="shared" si="7"/>
        <v>17.46</v>
      </c>
      <c r="N145" t="str">
        <f t="shared" si="8"/>
        <v>Liberica</v>
      </c>
      <c r="O145" t="str">
        <f t="shared" si="6"/>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_xlfn.XLOOKUP(C146,customers!$A$2:$A$1001,customers!$B$2:$B$1001,,0)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 MATCH(orders!$D146, products!$A$1:$A$49, 0), MATCH(orders!I$1, products!$A$1:$G$1, 0))</f>
        <v>Exc</v>
      </c>
      <c r="J146" t="str">
        <f>INDEX(products!$A$1:$G$49, MATCH(orders!$D146, products!$A$1:$A$49, 0), MATCH(orders!J$1, products!$A$1:$G$1, 0))</f>
        <v>L</v>
      </c>
      <c r="K146" s="5">
        <f>INDEX(products!$A$1:$G$49, MATCH(orders!$D146, products!$A$1:$A$49, 0), MATCH(orders!K$1, products!$A$1:$G$1, 0))</f>
        <v>2.5</v>
      </c>
      <c r="L146" s="6">
        <f>INDEX(products!$A$1:$G$49, MATCH(orders!$D146, products!$A$1:$A$49, 0), MATCH(orders!L$1, products!$A$1:$G$1, 0))</f>
        <v>34.154999999999994</v>
      </c>
      <c r="M146" s="6">
        <f t="shared" si="7"/>
        <v>68.309999999999988</v>
      </c>
      <c r="N146" t="str">
        <f t="shared" si="8"/>
        <v>Excelsa</v>
      </c>
      <c r="O146" t="str">
        <f t="shared" si="6"/>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_xlfn.XLOOKUP(C147,customers!$A$2:$A$1001,customers!$B$2:$B$1001,,0)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 MATCH(orders!$D147, products!$A$1:$A$49, 0), MATCH(orders!I$1, products!$A$1:$G$1, 0))</f>
        <v>Lib</v>
      </c>
      <c r="J147" t="str">
        <f>INDEX(products!$A$1:$G$49, MATCH(orders!$D147, products!$A$1:$A$49, 0), MATCH(orders!J$1, products!$A$1:$G$1, 0))</f>
        <v>M</v>
      </c>
      <c r="K147" s="5">
        <f>INDEX(products!$A$1:$G$49, MATCH(orders!$D147, products!$A$1:$A$49, 0), MATCH(orders!K$1, products!$A$1:$G$1, 0))</f>
        <v>0.2</v>
      </c>
      <c r="L147" s="6">
        <f>INDEX(products!$A$1:$G$49, MATCH(orders!$D147, products!$A$1:$A$49, 0), MATCH(orders!L$1, products!$A$1:$G$1, 0))</f>
        <v>4.3650000000000002</v>
      </c>
      <c r="M147" s="6">
        <f t="shared" si="7"/>
        <v>17.46</v>
      </c>
      <c r="N147" t="str">
        <f t="shared" si="8"/>
        <v>Liberica</v>
      </c>
      <c r="O147" t="str">
        <f t="shared" si="6"/>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_xlfn.XLOOKUP(C148,customers!$A$2:$A$1001,customers!$B$2:$B$1001,,0)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 MATCH(orders!$D148, products!$A$1:$A$49, 0), MATCH(orders!I$1, products!$A$1:$G$1, 0))</f>
        <v>Lib</v>
      </c>
      <c r="J148" t="str">
        <f>INDEX(products!$A$1:$G$49, MATCH(orders!$D148, products!$A$1:$A$49, 0), MATCH(orders!J$1, products!$A$1:$G$1, 0))</f>
        <v>M</v>
      </c>
      <c r="K148" s="5">
        <f>INDEX(products!$A$1:$G$49, MATCH(orders!$D148, products!$A$1:$A$49, 0), MATCH(orders!K$1, products!$A$1:$G$1, 0))</f>
        <v>1</v>
      </c>
      <c r="L148" s="6">
        <f>INDEX(products!$A$1:$G$49, MATCH(orders!$D148, products!$A$1:$A$49, 0), MATCH(orders!L$1, products!$A$1:$G$1, 0))</f>
        <v>14.55</v>
      </c>
      <c r="M148" s="6">
        <f t="shared" si="7"/>
        <v>43.650000000000006</v>
      </c>
      <c r="N148" t="str">
        <f t="shared" si="8"/>
        <v>Liberica</v>
      </c>
      <c r="O148" t="str">
        <f t="shared" si="6"/>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_xlfn.XLOOKUP(C149,customers!$A$2:$A$1001,customers!$B$2:$B$1001,,0)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 MATCH(orders!$D149, products!$A$1:$A$49, 0), MATCH(orders!I$1, products!$A$1:$G$1, 0))</f>
        <v>Exc</v>
      </c>
      <c r="J149" t="str">
        <f>INDEX(products!$A$1:$G$49, MATCH(orders!$D149, products!$A$1:$A$49, 0), MATCH(orders!J$1, products!$A$1:$G$1, 0))</f>
        <v>M</v>
      </c>
      <c r="K149" s="5">
        <f>INDEX(products!$A$1:$G$49, MATCH(orders!$D149, products!$A$1:$A$49, 0), MATCH(orders!K$1, products!$A$1:$G$1, 0))</f>
        <v>1</v>
      </c>
      <c r="L149" s="6">
        <f>INDEX(products!$A$1:$G$49, MATCH(orders!$D149, products!$A$1:$A$49, 0), MATCH(orders!L$1, products!$A$1:$G$1, 0))</f>
        <v>13.75</v>
      </c>
      <c r="M149" s="6">
        <f t="shared" si="7"/>
        <v>27.5</v>
      </c>
      <c r="N149" t="str">
        <f t="shared" si="8"/>
        <v>Excelsa</v>
      </c>
      <c r="O149" t="str">
        <f t="shared" si="6"/>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_xlfn.XLOOKUP(C150,customers!$A$2:$A$1001,customers!$B$2:$B$1001,,0)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 MATCH(orders!$D150, products!$A$1:$A$49, 0), MATCH(orders!I$1, products!$A$1:$G$1, 0))</f>
        <v>Exc</v>
      </c>
      <c r="J150" t="str">
        <f>INDEX(products!$A$1:$G$49, MATCH(orders!$D150, products!$A$1:$A$49, 0), MATCH(orders!J$1, products!$A$1:$G$1, 0))</f>
        <v>D</v>
      </c>
      <c r="K150" s="5">
        <f>INDEX(products!$A$1:$G$49, MATCH(orders!$D150, products!$A$1:$A$49, 0), MATCH(orders!K$1, products!$A$1:$G$1, 0))</f>
        <v>0.2</v>
      </c>
      <c r="L150" s="6">
        <f>INDEX(products!$A$1:$G$49, MATCH(orders!$D150, products!$A$1:$A$49, 0), MATCH(orders!L$1, products!$A$1:$G$1, 0))</f>
        <v>3.645</v>
      </c>
      <c r="M150" s="6">
        <f t="shared" si="7"/>
        <v>18.225000000000001</v>
      </c>
      <c r="N150" t="str">
        <f t="shared" si="8"/>
        <v>Excelsa</v>
      </c>
      <c r="O150" t="str">
        <f t="shared" si="6"/>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_xlfn.XLOOKUP(C151,customers!$A$2:$A$1001,customers!$B$2:$B$1001,,0)</f>
        <v>Gerard Pirdy</v>
      </c>
      <c r="G151" s="2" t="str">
        <f>IF(_xlfn.XLOOKUP(C151,customers!$A$1:$A$1001,customers!$C$1:$C$1001,,0)=0,"",_xlfn.XLOOKUP(C151,customers!$A$1:$A$1001,customers!$C$1:$C$1001,,0))</f>
        <v/>
      </c>
      <c r="H151" s="2" t="str">
        <f>_xlfn.XLOOKUP(C151,customers!$A$1:$A$1001,customers!$G$1:$G$1001,,0)</f>
        <v>United States</v>
      </c>
      <c r="I151" t="str">
        <f>INDEX(products!$A$1:$G$49, MATCH(orders!$D151, products!$A$1:$A$49, 0), MATCH(orders!I$1, products!$A$1:$G$1, 0))</f>
        <v>Ara</v>
      </c>
      <c r="J151" t="str">
        <f>INDEX(products!$A$1:$G$49, MATCH(orders!$D151, products!$A$1:$A$49, 0), MATCH(orders!J$1, products!$A$1:$G$1, 0))</f>
        <v>M</v>
      </c>
      <c r="K151" s="5">
        <f>INDEX(products!$A$1:$G$49, MATCH(orders!$D151, products!$A$1:$A$49, 0), MATCH(orders!K$1, products!$A$1:$G$1, 0))</f>
        <v>2.5</v>
      </c>
      <c r="L151" s="6">
        <f>INDEX(products!$A$1:$G$49, MATCH(orders!$D151, products!$A$1:$A$49, 0), MATCH(orders!L$1, products!$A$1:$G$1, 0))</f>
        <v>25.874999999999996</v>
      </c>
      <c r="M151" s="6">
        <f t="shared" si="7"/>
        <v>51.749999999999993</v>
      </c>
      <c r="N151" t="str">
        <f t="shared" si="8"/>
        <v>Arabica</v>
      </c>
      <c r="O151" t="str">
        <f t="shared" si="6"/>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_xlfn.XLOOKUP(C152,customers!$A$2:$A$1001,customers!$B$2:$B$1001,,0)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 MATCH(orders!$D152, products!$A$1:$A$49, 0), MATCH(orders!I$1, products!$A$1:$G$1, 0))</f>
        <v>Lib</v>
      </c>
      <c r="J152" t="str">
        <f>INDEX(products!$A$1:$G$49, MATCH(orders!$D152, products!$A$1:$A$49, 0), MATCH(orders!J$1, products!$A$1:$G$1, 0))</f>
        <v>D</v>
      </c>
      <c r="K152" s="5">
        <f>INDEX(products!$A$1:$G$49, MATCH(orders!$D152, products!$A$1:$A$49, 0), MATCH(orders!K$1, products!$A$1:$G$1, 0))</f>
        <v>1</v>
      </c>
      <c r="L152" s="6">
        <f>INDEX(products!$A$1:$G$49, MATCH(orders!$D152, products!$A$1:$A$49, 0), MATCH(orders!L$1, products!$A$1:$G$1, 0))</f>
        <v>12.95</v>
      </c>
      <c r="M152" s="6">
        <f t="shared" si="7"/>
        <v>12.95</v>
      </c>
      <c r="N152" t="str">
        <f t="shared" si="8"/>
        <v>Liberica</v>
      </c>
      <c r="O152" t="str">
        <f t="shared" si="6"/>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_xlfn.XLOOKUP(C153,customers!$A$2:$A$1001,customers!$B$2:$B$1001,,0)</f>
        <v>Quinton Fouracres</v>
      </c>
      <c r="G153" s="2" t="str">
        <f>IF(_xlfn.XLOOKUP(C153,customers!$A$1:$A$1001,customers!$C$1:$C$1001,,0)=0,"",_xlfn.XLOOKUP(C153,customers!$A$1:$A$1001,customers!$C$1:$C$1001,,0))</f>
        <v/>
      </c>
      <c r="H153" s="2" t="str">
        <f>_xlfn.XLOOKUP(C153,customers!$A$1:$A$1001,customers!$G$1:$G$1001,,0)</f>
        <v>United States</v>
      </c>
      <c r="I153" t="str">
        <f>INDEX(products!$A$1:$G$49, MATCH(orders!$D153, products!$A$1:$A$49, 0), MATCH(orders!I$1, products!$A$1:$G$1, 0))</f>
        <v>Ara</v>
      </c>
      <c r="J153" t="str">
        <f>INDEX(products!$A$1:$G$49, MATCH(orders!$D153, products!$A$1:$A$49, 0), MATCH(orders!J$1, products!$A$1:$G$1, 0))</f>
        <v>M</v>
      </c>
      <c r="K153" s="5">
        <f>INDEX(products!$A$1:$G$49, MATCH(orders!$D153, products!$A$1:$A$49, 0), MATCH(orders!K$1, products!$A$1:$G$1, 0))</f>
        <v>1</v>
      </c>
      <c r="L153" s="6">
        <f>INDEX(products!$A$1:$G$49, MATCH(orders!$D153, products!$A$1:$A$49, 0), MATCH(orders!L$1, products!$A$1:$G$1, 0))</f>
        <v>11.25</v>
      </c>
      <c r="M153" s="6">
        <f t="shared" si="7"/>
        <v>33.75</v>
      </c>
      <c r="N153" t="str">
        <f t="shared" si="8"/>
        <v>Arabica</v>
      </c>
      <c r="O153" t="str">
        <f t="shared" si="6"/>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_xlfn.XLOOKUP(C154,customers!$A$2:$A$1001,customers!$B$2:$B$1001,,0)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 MATCH(orders!$D154, products!$A$1:$A$49, 0), MATCH(orders!I$1, products!$A$1:$G$1, 0))</f>
        <v>Rob</v>
      </c>
      <c r="J154" t="str">
        <f>INDEX(products!$A$1:$G$49, MATCH(orders!$D154, products!$A$1:$A$49, 0), MATCH(orders!J$1, products!$A$1:$G$1, 0))</f>
        <v>M</v>
      </c>
      <c r="K154" s="5">
        <f>INDEX(products!$A$1:$G$49, MATCH(orders!$D154, products!$A$1:$A$49, 0), MATCH(orders!K$1, products!$A$1:$G$1, 0))</f>
        <v>2.5</v>
      </c>
      <c r="L154" s="6">
        <f>INDEX(products!$A$1:$G$49, MATCH(orders!$D154, products!$A$1:$A$49, 0), MATCH(orders!L$1, products!$A$1:$G$1, 0))</f>
        <v>22.884999999999998</v>
      </c>
      <c r="M154" s="6">
        <f t="shared" si="7"/>
        <v>68.655000000000001</v>
      </c>
      <c r="N154" t="str">
        <f t="shared" si="8"/>
        <v>Robusta</v>
      </c>
      <c r="O154" t="str">
        <f t="shared" si="6"/>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_xlfn.XLOOKUP(C155,customers!$A$2:$A$1001,customers!$B$2:$B$1001,,0)</f>
        <v>Hetti Penson</v>
      </c>
      <c r="G155" s="2" t="str">
        <f>IF(_xlfn.XLOOKUP(C155,customers!$A$1:$A$1001,customers!$C$1:$C$1001,,0)=0,"",_xlfn.XLOOKUP(C155,customers!$A$1:$A$1001,customers!$C$1:$C$1001,,0))</f>
        <v/>
      </c>
      <c r="H155" s="2" t="str">
        <f>_xlfn.XLOOKUP(C155,customers!$A$1:$A$1001,customers!$G$1:$G$1001,,0)</f>
        <v>United States</v>
      </c>
      <c r="I155" t="str">
        <f>INDEX(products!$A$1:$G$49, MATCH(orders!$D155, products!$A$1:$A$49, 0), MATCH(orders!I$1, products!$A$1:$G$1, 0))</f>
        <v>Rob</v>
      </c>
      <c r="J155" t="str">
        <f>INDEX(products!$A$1:$G$49, MATCH(orders!$D155, products!$A$1:$A$49, 0), MATCH(orders!J$1, products!$A$1:$G$1, 0))</f>
        <v>D</v>
      </c>
      <c r="K155" s="5">
        <f>INDEX(products!$A$1:$G$49, MATCH(orders!$D155, products!$A$1:$A$49, 0), MATCH(orders!K$1, products!$A$1:$G$1, 0))</f>
        <v>0.2</v>
      </c>
      <c r="L155" s="6">
        <f>INDEX(products!$A$1:$G$49, MATCH(orders!$D155, products!$A$1:$A$49, 0), MATCH(orders!L$1, products!$A$1:$G$1, 0))</f>
        <v>2.6849999999999996</v>
      </c>
      <c r="M155" s="6">
        <f t="shared" si="7"/>
        <v>2.6849999999999996</v>
      </c>
      <c r="N155" t="str">
        <f t="shared" si="8"/>
        <v>Robusta</v>
      </c>
      <c r="O155" t="str">
        <f t="shared" si="6"/>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_xlfn.XLOOKUP(C156,customers!$A$2:$A$1001,customers!$B$2:$B$1001,,0)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 MATCH(orders!$D156, products!$A$1:$A$49, 0), MATCH(orders!I$1, products!$A$1:$G$1, 0))</f>
        <v>Ara</v>
      </c>
      <c r="J156" t="str">
        <f>INDEX(products!$A$1:$G$49, MATCH(orders!$D156, products!$A$1:$A$49, 0), MATCH(orders!J$1, products!$A$1:$G$1, 0))</f>
        <v>D</v>
      </c>
      <c r="K156" s="5">
        <f>INDEX(products!$A$1:$G$49, MATCH(orders!$D156, products!$A$1:$A$49, 0), MATCH(orders!K$1, products!$A$1:$G$1, 0))</f>
        <v>2.5</v>
      </c>
      <c r="L156" s="6">
        <f>INDEX(products!$A$1:$G$49, MATCH(orders!$D156, products!$A$1:$A$49, 0), MATCH(orders!L$1, products!$A$1:$G$1, 0))</f>
        <v>22.884999999999998</v>
      </c>
      <c r="M156" s="6">
        <f t="shared" si="7"/>
        <v>114.42499999999998</v>
      </c>
      <c r="N156" t="str">
        <f t="shared" si="8"/>
        <v>Arabica</v>
      </c>
      <c r="O156" t="str">
        <f t="shared" si="6"/>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_xlfn.XLOOKUP(C157,customers!$A$2:$A$1001,customers!$B$2:$B$1001,,0)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 MATCH(orders!$D157, products!$A$1:$A$49, 0), MATCH(orders!I$1, products!$A$1:$G$1, 0))</f>
        <v>Ara</v>
      </c>
      <c r="J157" t="str">
        <f>INDEX(products!$A$1:$G$49, MATCH(orders!$D157, products!$A$1:$A$49, 0), MATCH(orders!J$1, products!$A$1:$G$1, 0))</f>
        <v>M</v>
      </c>
      <c r="K157" s="5">
        <f>INDEX(products!$A$1:$G$49, MATCH(orders!$D157, products!$A$1:$A$49, 0), MATCH(orders!K$1, products!$A$1:$G$1, 0))</f>
        <v>2.5</v>
      </c>
      <c r="L157" s="6">
        <f>INDEX(products!$A$1:$G$49, MATCH(orders!$D157, products!$A$1:$A$49, 0), MATCH(orders!L$1, products!$A$1:$G$1, 0))</f>
        <v>25.874999999999996</v>
      </c>
      <c r="M157" s="6">
        <f t="shared" si="7"/>
        <v>155.24999999999997</v>
      </c>
      <c r="N157" t="str">
        <f t="shared" si="8"/>
        <v>Arabica</v>
      </c>
      <c r="O157" t="str">
        <f t="shared" si="6"/>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_xlfn.XLOOKUP(C158,customers!$A$2:$A$1001,customers!$B$2:$B$1001,,0)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 MATCH(orders!$D158, products!$A$1:$A$49, 0), MATCH(orders!I$1, products!$A$1:$G$1, 0))</f>
        <v>Ara</v>
      </c>
      <c r="J158" t="str">
        <f>INDEX(products!$A$1:$G$49, MATCH(orders!$D158, products!$A$1:$A$49, 0), MATCH(orders!J$1, products!$A$1:$G$1, 0))</f>
        <v>M</v>
      </c>
      <c r="K158" s="5">
        <f>INDEX(products!$A$1:$G$49, MATCH(orders!$D158, products!$A$1:$A$49, 0), MATCH(orders!K$1, products!$A$1:$G$1, 0))</f>
        <v>2.5</v>
      </c>
      <c r="L158" s="6">
        <f>INDEX(products!$A$1:$G$49, MATCH(orders!$D158, products!$A$1:$A$49, 0), MATCH(orders!L$1, products!$A$1:$G$1, 0))</f>
        <v>25.874999999999996</v>
      </c>
      <c r="M158" s="6">
        <f t="shared" si="7"/>
        <v>77.624999999999986</v>
      </c>
      <c r="N158" t="str">
        <f t="shared" si="8"/>
        <v>Arabica</v>
      </c>
      <c r="O158" t="str">
        <f t="shared" si="6"/>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_xlfn.XLOOKUP(C159,customers!$A$2:$A$1001,customers!$B$2:$B$1001,,0)</f>
        <v>Paulo Yea</v>
      </c>
      <c r="G159" s="2" t="str">
        <f>IF(_xlfn.XLOOKUP(C159,customers!$A$1:$A$1001,customers!$C$1:$C$1001,,0)=0,"",_xlfn.XLOOKUP(C159,customers!$A$1:$A$1001,customers!$C$1:$C$1001,,0))</f>
        <v>pyea4d@aol.com</v>
      </c>
      <c r="H159" s="2" t="str">
        <f>_xlfn.XLOOKUP(C159,customers!$A$1:$A$1001,customers!$G$1:$G$1001,,0)</f>
        <v>Ireland</v>
      </c>
      <c r="I159" t="str">
        <f>INDEX(products!$A$1:$G$49, MATCH(orders!$D159, products!$A$1:$A$49, 0), MATCH(orders!I$1, products!$A$1:$G$1, 0))</f>
        <v>Rob</v>
      </c>
      <c r="J159" t="str">
        <f>INDEX(products!$A$1:$G$49, MATCH(orders!$D159, products!$A$1:$A$49, 0), MATCH(orders!J$1, products!$A$1:$G$1, 0))</f>
        <v>D</v>
      </c>
      <c r="K159" s="5">
        <f>INDEX(products!$A$1:$G$49, MATCH(orders!$D159, products!$A$1:$A$49, 0), MATCH(orders!K$1, products!$A$1:$G$1, 0))</f>
        <v>2.5</v>
      </c>
      <c r="L159" s="6">
        <f>INDEX(products!$A$1:$G$49, MATCH(orders!$D159, products!$A$1:$A$49, 0), MATCH(orders!L$1, products!$A$1:$G$1, 0))</f>
        <v>20.584999999999997</v>
      </c>
      <c r="M159" s="6">
        <f t="shared" si="7"/>
        <v>61.754999999999995</v>
      </c>
      <c r="N159" t="str">
        <f t="shared" si="8"/>
        <v>Robusta</v>
      </c>
      <c r="O159" t="str">
        <f t="shared" si="6"/>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_xlfn.XLOOKUP(C160,customers!$A$2:$A$1001,customers!$B$2:$B$1001,,0)</f>
        <v>Say Risborough</v>
      </c>
      <c r="G160" s="2" t="str">
        <f>IF(_xlfn.XLOOKUP(C160,customers!$A$1:$A$1001,customers!$C$1:$C$1001,,0)=0,"",_xlfn.XLOOKUP(C160,customers!$A$1:$A$1001,customers!$C$1:$C$1001,,0))</f>
        <v/>
      </c>
      <c r="H160" s="2" t="str">
        <f>_xlfn.XLOOKUP(C160,customers!$A$1:$A$1001,customers!$G$1:$G$1001,,0)</f>
        <v>United States</v>
      </c>
      <c r="I160" t="str">
        <f>INDEX(products!$A$1:$G$49, MATCH(orders!$D160, products!$A$1:$A$49, 0), MATCH(orders!I$1, products!$A$1:$G$1, 0))</f>
        <v>Rob</v>
      </c>
      <c r="J160" t="str">
        <f>INDEX(products!$A$1:$G$49, MATCH(orders!$D160, products!$A$1:$A$49, 0), MATCH(orders!J$1, products!$A$1:$G$1, 0))</f>
        <v>D</v>
      </c>
      <c r="K160" s="5">
        <f>INDEX(products!$A$1:$G$49, MATCH(orders!$D160, products!$A$1:$A$49, 0), MATCH(orders!K$1, products!$A$1:$G$1, 0))</f>
        <v>2.5</v>
      </c>
      <c r="L160" s="6">
        <f>INDEX(products!$A$1:$G$49, MATCH(orders!$D160, products!$A$1:$A$49, 0), MATCH(orders!L$1, products!$A$1:$G$1, 0))</f>
        <v>20.584999999999997</v>
      </c>
      <c r="M160" s="6">
        <f t="shared" si="7"/>
        <v>123.50999999999999</v>
      </c>
      <c r="N160" t="str">
        <f t="shared" si="8"/>
        <v>Robusta</v>
      </c>
      <c r="O160" t="str">
        <f t="shared" si="6"/>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_xlfn.XLOOKUP(C161,customers!$A$2:$A$1001,customers!$B$2:$B$1001,,0)</f>
        <v>Alexa Sizey</v>
      </c>
      <c r="G161" s="2" t="str">
        <f>IF(_xlfn.XLOOKUP(C161,customers!$A$1:$A$1001,customers!$C$1:$C$1001,,0)=0,"",_xlfn.XLOOKUP(C161,customers!$A$1:$A$1001,customers!$C$1:$C$1001,,0))</f>
        <v/>
      </c>
      <c r="H161" s="2" t="str">
        <f>_xlfn.XLOOKUP(C161,customers!$A$1:$A$1001,customers!$G$1:$G$1001,,0)</f>
        <v>United States</v>
      </c>
      <c r="I161" t="str">
        <f>INDEX(products!$A$1:$G$49, MATCH(orders!$D161, products!$A$1:$A$49, 0), MATCH(orders!I$1, products!$A$1:$G$1, 0))</f>
        <v>Lib</v>
      </c>
      <c r="J161" t="str">
        <f>INDEX(products!$A$1:$G$49, MATCH(orders!$D161, products!$A$1:$A$49, 0), MATCH(orders!J$1, products!$A$1:$G$1, 0))</f>
        <v>L</v>
      </c>
      <c r="K161" s="5">
        <f>INDEX(products!$A$1:$G$49, MATCH(orders!$D161, products!$A$1:$A$49, 0), MATCH(orders!K$1, products!$A$1:$G$1, 0))</f>
        <v>2.5</v>
      </c>
      <c r="L161" s="6">
        <f>INDEX(products!$A$1:$G$49, MATCH(orders!$D161, products!$A$1:$A$49, 0), MATCH(orders!L$1, products!$A$1:$G$1, 0))</f>
        <v>36.454999999999998</v>
      </c>
      <c r="M161" s="6">
        <f t="shared" si="7"/>
        <v>218.73</v>
      </c>
      <c r="N161" t="str">
        <f t="shared" si="8"/>
        <v>Liberica</v>
      </c>
      <c r="O161" t="str">
        <f t="shared" si="6"/>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_xlfn.XLOOKUP(C162,customers!$A$2:$A$1001,customers!$B$2:$B$1001,,0)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 MATCH(orders!$D162, products!$A$1:$A$49, 0), MATCH(orders!I$1, products!$A$1:$G$1, 0))</f>
        <v>Exc</v>
      </c>
      <c r="J162" t="str">
        <f>INDEX(products!$A$1:$G$49, MATCH(orders!$D162, products!$A$1:$A$49, 0), MATCH(orders!J$1, products!$A$1:$G$1, 0))</f>
        <v>M</v>
      </c>
      <c r="K162" s="5">
        <f>INDEX(products!$A$1:$G$49, MATCH(orders!$D162, products!$A$1:$A$49, 0), MATCH(orders!K$1, products!$A$1:$G$1, 0))</f>
        <v>0.5</v>
      </c>
      <c r="L162" s="6">
        <f>INDEX(products!$A$1:$G$49, MATCH(orders!$D162, products!$A$1:$A$49, 0), MATCH(orders!L$1, products!$A$1:$G$1, 0))</f>
        <v>8.25</v>
      </c>
      <c r="M162" s="6">
        <f t="shared" si="7"/>
        <v>33</v>
      </c>
      <c r="N162" t="str">
        <f t="shared" si="8"/>
        <v>Excelsa</v>
      </c>
      <c r="O162" t="str">
        <f t="shared" si="6"/>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_xlfn.XLOOKUP(C163,customers!$A$2:$A$1001,customers!$B$2:$B$1001,,0)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 MATCH(orders!$D163, products!$A$1:$A$49, 0), MATCH(orders!I$1, products!$A$1:$G$1, 0))</f>
        <v>Ara</v>
      </c>
      <c r="J163" t="str">
        <f>INDEX(products!$A$1:$G$49, MATCH(orders!$D163, products!$A$1:$A$49, 0), MATCH(orders!J$1, products!$A$1:$G$1, 0))</f>
        <v>L</v>
      </c>
      <c r="K163" s="5">
        <f>INDEX(products!$A$1:$G$49, MATCH(orders!$D163, products!$A$1:$A$49, 0), MATCH(orders!K$1, products!$A$1:$G$1, 0))</f>
        <v>0.5</v>
      </c>
      <c r="L163" s="6">
        <f>INDEX(products!$A$1:$G$49, MATCH(orders!$D163, products!$A$1:$A$49, 0), MATCH(orders!L$1, products!$A$1:$G$1, 0))</f>
        <v>7.77</v>
      </c>
      <c r="M163" s="6">
        <f t="shared" si="7"/>
        <v>23.31</v>
      </c>
      <c r="N163" t="str">
        <f t="shared" si="8"/>
        <v>Arabica</v>
      </c>
      <c r="O163" t="str">
        <f t="shared" si="6"/>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_xlfn.XLOOKUP(C164,customers!$A$2:$A$1001,customers!$B$2:$B$1001,,0)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 MATCH(orders!$D164, products!$A$1:$A$49, 0), MATCH(orders!I$1, products!$A$1:$G$1, 0))</f>
        <v>Exc</v>
      </c>
      <c r="J164" t="str">
        <f>INDEX(products!$A$1:$G$49, MATCH(orders!$D164, products!$A$1:$A$49, 0), MATCH(orders!J$1, products!$A$1:$G$1, 0))</f>
        <v>D</v>
      </c>
      <c r="K164" s="5">
        <f>INDEX(products!$A$1:$G$49, MATCH(orders!$D164, products!$A$1:$A$49, 0), MATCH(orders!K$1, products!$A$1:$G$1, 0))</f>
        <v>0.5</v>
      </c>
      <c r="L164" s="6">
        <f>INDEX(products!$A$1:$G$49, MATCH(orders!$D164, products!$A$1:$A$49, 0), MATCH(orders!L$1, products!$A$1:$G$1, 0))</f>
        <v>7.29</v>
      </c>
      <c r="M164" s="6">
        <f t="shared" si="7"/>
        <v>21.87</v>
      </c>
      <c r="N164" t="str">
        <f t="shared" si="8"/>
        <v>Excelsa</v>
      </c>
      <c r="O164" t="str">
        <f t="shared" si="6"/>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_xlfn.XLOOKUP(C165,customers!$A$2:$A$1001,customers!$B$2:$B$1001,,0)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 MATCH(orders!$D165, products!$A$1:$A$49, 0), MATCH(orders!I$1, products!$A$1:$G$1, 0))</f>
        <v>Rob</v>
      </c>
      <c r="J165" t="str">
        <f>INDEX(products!$A$1:$G$49, MATCH(orders!$D165, products!$A$1:$A$49, 0), MATCH(orders!J$1, products!$A$1:$G$1, 0))</f>
        <v>D</v>
      </c>
      <c r="K165" s="5">
        <f>INDEX(products!$A$1:$G$49, MATCH(orders!$D165, products!$A$1:$A$49, 0), MATCH(orders!K$1, products!$A$1:$G$1, 0))</f>
        <v>0.2</v>
      </c>
      <c r="L165" s="6">
        <f>INDEX(products!$A$1:$G$49, MATCH(orders!$D165, products!$A$1:$A$49, 0), MATCH(orders!L$1, products!$A$1:$G$1, 0))</f>
        <v>2.6849999999999996</v>
      </c>
      <c r="M165" s="6">
        <f t="shared" si="7"/>
        <v>16.11</v>
      </c>
      <c r="N165" t="str">
        <f t="shared" si="8"/>
        <v>Robusta</v>
      </c>
      <c r="O165" t="str">
        <f t="shared" si="6"/>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_xlfn.XLOOKUP(C166,customers!$A$2:$A$1001,customers!$B$2:$B$1001,,0)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 MATCH(orders!$D166, products!$A$1:$A$49, 0), MATCH(orders!I$1, products!$A$1:$G$1, 0))</f>
        <v>Exc</v>
      </c>
      <c r="J166" t="str">
        <f>INDEX(products!$A$1:$G$49, MATCH(orders!$D166, products!$A$1:$A$49, 0), MATCH(orders!J$1, products!$A$1:$G$1, 0))</f>
        <v>D</v>
      </c>
      <c r="K166" s="5">
        <f>INDEX(products!$A$1:$G$49, MATCH(orders!$D166, products!$A$1:$A$49, 0), MATCH(orders!K$1, products!$A$1:$G$1, 0))</f>
        <v>0.5</v>
      </c>
      <c r="L166" s="6">
        <f>INDEX(products!$A$1:$G$49, MATCH(orders!$D166, products!$A$1:$A$49, 0), MATCH(orders!L$1, products!$A$1:$G$1, 0))</f>
        <v>7.29</v>
      </c>
      <c r="M166" s="6">
        <f t="shared" si="7"/>
        <v>29.16</v>
      </c>
      <c r="N166" t="str">
        <f t="shared" si="8"/>
        <v>Excelsa</v>
      </c>
      <c r="O166" t="str">
        <f t="shared" si="6"/>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_xlfn.XLOOKUP(C167,customers!$A$2:$A$1001,customers!$B$2:$B$1001,,0)</f>
        <v>Mina Elstone</v>
      </c>
      <c r="G167" s="2" t="str">
        <f>IF(_xlfn.XLOOKUP(C167,customers!$A$1:$A$1001,customers!$C$1:$C$1001,,0)=0,"",_xlfn.XLOOKUP(C167,customers!$A$1:$A$1001,customers!$C$1:$C$1001,,0))</f>
        <v/>
      </c>
      <c r="H167" s="2" t="str">
        <f>_xlfn.XLOOKUP(C167,customers!$A$1:$A$1001,customers!$G$1:$G$1001,,0)</f>
        <v>United States</v>
      </c>
      <c r="I167" t="str">
        <f>INDEX(products!$A$1:$G$49, MATCH(orders!$D167, products!$A$1:$A$49, 0), MATCH(orders!I$1, products!$A$1:$G$1, 0))</f>
        <v>Rob</v>
      </c>
      <c r="J167" t="str">
        <f>INDEX(products!$A$1:$G$49, MATCH(orders!$D167, products!$A$1:$A$49, 0), MATCH(orders!J$1, products!$A$1:$G$1, 0))</f>
        <v>D</v>
      </c>
      <c r="K167" s="5">
        <f>INDEX(products!$A$1:$G$49, MATCH(orders!$D167, products!$A$1:$A$49, 0), MATCH(orders!K$1, products!$A$1:$G$1, 0))</f>
        <v>1</v>
      </c>
      <c r="L167" s="6">
        <f>INDEX(products!$A$1:$G$49, MATCH(orders!$D167, products!$A$1:$A$49, 0), MATCH(orders!L$1, products!$A$1:$G$1, 0))</f>
        <v>8.9499999999999993</v>
      </c>
      <c r="M167" s="6">
        <f t="shared" si="7"/>
        <v>53.699999999999996</v>
      </c>
      <c r="N167" t="str">
        <f t="shared" si="8"/>
        <v>Robusta</v>
      </c>
      <c r="O167" t="str">
        <f t="shared" si="6"/>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_xlfn.XLOOKUP(C168,customers!$A$2:$A$1001,customers!$B$2:$B$1001,,0)</f>
        <v>Sherman Mewrcik</v>
      </c>
      <c r="G168" s="2" t="str">
        <f>IF(_xlfn.XLOOKUP(C168,customers!$A$1:$A$1001,customers!$C$1:$C$1001,,0)=0,"",_xlfn.XLOOKUP(C168,customers!$A$1:$A$1001,customers!$C$1:$C$1001,,0))</f>
        <v/>
      </c>
      <c r="H168" s="2" t="str">
        <f>_xlfn.XLOOKUP(C168,customers!$A$1:$A$1001,customers!$G$1:$G$1001,,0)</f>
        <v>United States</v>
      </c>
      <c r="I168" t="str">
        <f>INDEX(products!$A$1:$G$49, MATCH(orders!$D168, products!$A$1:$A$49, 0), MATCH(orders!I$1, products!$A$1:$G$1, 0))</f>
        <v>Rob</v>
      </c>
      <c r="J168" t="str">
        <f>INDEX(products!$A$1:$G$49, MATCH(orders!$D168, products!$A$1:$A$49, 0), MATCH(orders!J$1, products!$A$1:$G$1, 0))</f>
        <v>D</v>
      </c>
      <c r="K168" s="5">
        <f>INDEX(products!$A$1:$G$49, MATCH(orders!$D168, products!$A$1:$A$49, 0), MATCH(orders!K$1, products!$A$1:$G$1, 0))</f>
        <v>0.5</v>
      </c>
      <c r="L168" s="6">
        <f>INDEX(products!$A$1:$G$49, MATCH(orders!$D168, products!$A$1:$A$49, 0), MATCH(orders!L$1, products!$A$1:$G$1, 0))</f>
        <v>5.3699999999999992</v>
      </c>
      <c r="M168" s="6">
        <f t="shared" si="7"/>
        <v>26.849999999999994</v>
      </c>
      <c r="N168" t="str">
        <f t="shared" si="8"/>
        <v>Robusta</v>
      </c>
      <c r="O168" t="str">
        <f t="shared" si="6"/>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_xlfn.XLOOKUP(C169,customers!$A$2:$A$1001,customers!$B$2:$B$1001,,0)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 MATCH(orders!$D169, products!$A$1:$A$49, 0), MATCH(orders!I$1, products!$A$1:$G$1, 0))</f>
        <v>Exc</v>
      </c>
      <c r="J169" t="str">
        <f>INDEX(products!$A$1:$G$49, MATCH(orders!$D169, products!$A$1:$A$49, 0), MATCH(orders!J$1, products!$A$1:$G$1, 0))</f>
        <v>M</v>
      </c>
      <c r="K169" s="5">
        <f>INDEX(products!$A$1:$G$49, MATCH(orders!$D169, products!$A$1:$A$49, 0), MATCH(orders!K$1, products!$A$1:$G$1, 0))</f>
        <v>0.5</v>
      </c>
      <c r="L169" s="6">
        <f>INDEX(products!$A$1:$G$49, MATCH(orders!$D169, products!$A$1:$A$49, 0), MATCH(orders!L$1, products!$A$1:$G$1, 0))</f>
        <v>8.25</v>
      </c>
      <c r="M169" s="6">
        <f t="shared" si="7"/>
        <v>41.25</v>
      </c>
      <c r="N169" t="str">
        <f t="shared" si="8"/>
        <v>Excelsa</v>
      </c>
      <c r="O169" t="str">
        <f t="shared" si="6"/>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_xlfn.XLOOKUP(C170,customers!$A$2:$A$1001,customers!$B$2:$B$1001,,0)</f>
        <v>Stanislaus Valsler</v>
      </c>
      <c r="G170" s="2" t="str">
        <f>IF(_xlfn.XLOOKUP(C170,customers!$A$1:$A$1001,customers!$C$1:$C$1001,,0)=0,"",_xlfn.XLOOKUP(C170,customers!$A$1:$A$1001,customers!$C$1:$C$1001,,0))</f>
        <v/>
      </c>
      <c r="H170" s="2" t="str">
        <f>_xlfn.XLOOKUP(C170,customers!$A$1:$A$1001,customers!$G$1:$G$1001,,0)</f>
        <v>Ireland</v>
      </c>
      <c r="I170" t="str">
        <f>INDEX(products!$A$1:$G$49, MATCH(orders!$D170, products!$A$1:$A$49, 0), MATCH(orders!I$1, products!$A$1:$G$1, 0))</f>
        <v>Ara</v>
      </c>
      <c r="J170" t="str">
        <f>INDEX(products!$A$1:$G$49, MATCH(orders!$D170, products!$A$1:$A$49, 0), MATCH(orders!J$1, products!$A$1:$G$1, 0))</f>
        <v>M</v>
      </c>
      <c r="K170" s="5">
        <f>INDEX(products!$A$1:$G$49, MATCH(orders!$D170, products!$A$1:$A$49, 0), MATCH(orders!K$1, products!$A$1:$G$1, 0))</f>
        <v>0.5</v>
      </c>
      <c r="L170" s="6">
        <f>INDEX(products!$A$1:$G$49, MATCH(orders!$D170, products!$A$1:$A$49, 0), MATCH(orders!L$1, products!$A$1:$G$1, 0))</f>
        <v>6.75</v>
      </c>
      <c r="M170" s="6">
        <f t="shared" si="7"/>
        <v>40.5</v>
      </c>
      <c r="N170" t="str">
        <f t="shared" si="8"/>
        <v>Arabica</v>
      </c>
      <c r="O170" t="str">
        <f t="shared" si="6"/>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_xlfn.XLOOKUP(C171,customers!$A$2:$A$1001,customers!$B$2:$B$1001,,0)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 MATCH(orders!$D171, products!$A$1:$A$49, 0), MATCH(orders!I$1, products!$A$1:$G$1, 0))</f>
        <v>Rob</v>
      </c>
      <c r="J171" t="str">
        <f>INDEX(products!$A$1:$G$49, MATCH(orders!$D171, products!$A$1:$A$49, 0), MATCH(orders!J$1, products!$A$1:$G$1, 0))</f>
        <v>D</v>
      </c>
      <c r="K171" s="5">
        <f>INDEX(products!$A$1:$G$49, MATCH(orders!$D171, products!$A$1:$A$49, 0), MATCH(orders!K$1, products!$A$1:$G$1, 0))</f>
        <v>1</v>
      </c>
      <c r="L171" s="6">
        <f>INDEX(products!$A$1:$G$49, MATCH(orders!$D171, products!$A$1:$A$49, 0), MATCH(orders!L$1, products!$A$1:$G$1, 0))</f>
        <v>8.9499999999999993</v>
      </c>
      <c r="M171" s="6">
        <f t="shared" si="7"/>
        <v>17.899999999999999</v>
      </c>
      <c r="N171" t="str">
        <f t="shared" si="8"/>
        <v>Robusta</v>
      </c>
      <c r="O171" t="str">
        <f t="shared" si="6"/>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_xlfn.XLOOKUP(C172,customers!$A$2:$A$1001,customers!$B$2:$B$1001,,0)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 MATCH(orders!$D172, products!$A$1:$A$49, 0), MATCH(orders!I$1, products!$A$1:$G$1, 0))</f>
        <v>Exc</v>
      </c>
      <c r="J172" t="str">
        <f>INDEX(products!$A$1:$G$49, MATCH(orders!$D172, products!$A$1:$A$49, 0), MATCH(orders!J$1, products!$A$1:$G$1, 0))</f>
        <v>L</v>
      </c>
      <c r="K172" s="5">
        <f>INDEX(products!$A$1:$G$49, MATCH(orders!$D172, products!$A$1:$A$49, 0), MATCH(orders!K$1, products!$A$1:$G$1, 0))</f>
        <v>2.5</v>
      </c>
      <c r="L172" s="6">
        <f>INDEX(products!$A$1:$G$49, MATCH(orders!$D172, products!$A$1:$A$49, 0), MATCH(orders!L$1, products!$A$1:$G$1, 0))</f>
        <v>34.154999999999994</v>
      </c>
      <c r="M172" s="6">
        <f t="shared" si="7"/>
        <v>68.309999999999988</v>
      </c>
      <c r="N172" t="str">
        <f t="shared" si="8"/>
        <v>Excelsa</v>
      </c>
      <c r="O172" t="str">
        <f t="shared" si="6"/>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_xlfn.XLOOKUP(C173,customers!$A$2:$A$1001,customers!$B$2:$B$1001,,0)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 MATCH(orders!$D173, products!$A$1:$A$49, 0), MATCH(orders!I$1, products!$A$1:$G$1, 0))</f>
        <v>Exc</v>
      </c>
      <c r="J173" t="str">
        <f>INDEX(products!$A$1:$G$49, MATCH(orders!$D173, products!$A$1:$A$49, 0), MATCH(orders!J$1, products!$A$1:$G$1, 0))</f>
        <v>M</v>
      </c>
      <c r="K173" s="5">
        <f>INDEX(products!$A$1:$G$49, MATCH(orders!$D173, products!$A$1:$A$49, 0), MATCH(orders!K$1, products!$A$1:$G$1, 0))</f>
        <v>2.5</v>
      </c>
      <c r="L173" s="6">
        <f>INDEX(products!$A$1:$G$49, MATCH(orders!$D173, products!$A$1:$A$49, 0), MATCH(orders!L$1, products!$A$1:$G$1, 0))</f>
        <v>31.624999999999996</v>
      </c>
      <c r="M173" s="6">
        <f t="shared" si="7"/>
        <v>63.249999999999993</v>
      </c>
      <c r="N173" t="str">
        <f t="shared" si="8"/>
        <v>Excelsa</v>
      </c>
      <c r="O173" t="str">
        <f t="shared" si="6"/>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_xlfn.XLOOKUP(C174,customers!$A$2:$A$1001,customers!$B$2:$B$1001,,0)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 MATCH(orders!$D174, products!$A$1:$A$49, 0), MATCH(orders!I$1, products!$A$1:$G$1, 0))</f>
        <v>Exc</v>
      </c>
      <c r="J174" t="str">
        <f>INDEX(products!$A$1:$G$49, MATCH(orders!$D174, products!$A$1:$A$49, 0), MATCH(orders!J$1, products!$A$1:$G$1, 0))</f>
        <v>D</v>
      </c>
      <c r="K174" s="5">
        <f>INDEX(products!$A$1:$G$49, MATCH(orders!$D174, products!$A$1:$A$49, 0), MATCH(orders!K$1, products!$A$1:$G$1, 0))</f>
        <v>0.5</v>
      </c>
      <c r="L174" s="6">
        <f>INDEX(products!$A$1:$G$49, MATCH(orders!$D174, products!$A$1:$A$49, 0), MATCH(orders!L$1, products!$A$1:$G$1, 0))</f>
        <v>7.29</v>
      </c>
      <c r="M174" s="6">
        <f t="shared" si="7"/>
        <v>21.87</v>
      </c>
      <c r="N174" t="str">
        <f t="shared" si="8"/>
        <v>Excelsa</v>
      </c>
      <c r="O174" t="str">
        <f t="shared" si="6"/>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_xlfn.XLOOKUP(C175,customers!$A$2:$A$1001,customers!$B$2:$B$1001,,0)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 MATCH(orders!$D175, products!$A$1:$A$49, 0), MATCH(orders!I$1, products!$A$1:$G$1, 0))</f>
        <v>Rob</v>
      </c>
      <c r="J175" t="str">
        <f>INDEX(products!$A$1:$G$49, MATCH(orders!$D175, products!$A$1:$A$49, 0), MATCH(orders!J$1, products!$A$1:$G$1, 0))</f>
        <v>M</v>
      </c>
      <c r="K175" s="5">
        <f>INDEX(products!$A$1:$G$49, MATCH(orders!$D175, products!$A$1:$A$49, 0), MATCH(orders!K$1, products!$A$1:$G$1, 0))</f>
        <v>2.5</v>
      </c>
      <c r="L175" s="6">
        <f>INDEX(products!$A$1:$G$49, MATCH(orders!$D175, products!$A$1:$A$49, 0), MATCH(orders!L$1, products!$A$1:$G$1, 0))</f>
        <v>22.884999999999998</v>
      </c>
      <c r="M175" s="6">
        <f t="shared" si="7"/>
        <v>91.539999999999992</v>
      </c>
      <c r="N175" t="str">
        <f t="shared" si="8"/>
        <v>Robusta</v>
      </c>
      <c r="O175" t="str">
        <f t="shared" si="6"/>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_xlfn.XLOOKUP(C176,customers!$A$2:$A$1001,customers!$B$2:$B$1001,,0)</f>
        <v>Elysee Sketch</v>
      </c>
      <c r="G176" s="2" t="str">
        <f>IF(_xlfn.XLOOKUP(C176,customers!$A$1:$A$1001,customers!$C$1:$C$1001,,0)=0,"",_xlfn.XLOOKUP(C176,customers!$A$1:$A$1001,customers!$C$1:$C$1001,,0))</f>
        <v/>
      </c>
      <c r="H176" s="2" t="str">
        <f>_xlfn.XLOOKUP(C176,customers!$A$1:$A$1001,customers!$G$1:$G$1001,,0)</f>
        <v>United States</v>
      </c>
      <c r="I176" t="str">
        <f>INDEX(products!$A$1:$G$49, MATCH(orders!$D176, products!$A$1:$A$49, 0), MATCH(orders!I$1, products!$A$1:$G$1, 0))</f>
        <v>Exc</v>
      </c>
      <c r="J176" t="str">
        <f>INDEX(products!$A$1:$G$49, MATCH(orders!$D176, products!$A$1:$A$49, 0), MATCH(orders!J$1, products!$A$1:$G$1, 0))</f>
        <v>L</v>
      </c>
      <c r="K176" s="5">
        <f>INDEX(products!$A$1:$G$49, MATCH(orders!$D176, products!$A$1:$A$49, 0), MATCH(orders!K$1, products!$A$1:$G$1, 0))</f>
        <v>2.5</v>
      </c>
      <c r="L176" s="6">
        <f>INDEX(products!$A$1:$G$49, MATCH(orders!$D176, products!$A$1:$A$49, 0), MATCH(orders!L$1, products!$A$1:$G$1, 0))</f>
        <v>34.154999999999994</v>
      </c>
      <c r="M176" s="6">
        <f t="shared" si="7"/>
        <v>204.92999999999995</v>
      </c>
      <c r="N176" t="str">
        <f t="shared" si="8"/>
        <v>Excelsa</v>
      </c>
      <c r="O176" t="str">
        <f t="shared" si="6"/>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_xlfn.XLOOKUP(C177,customers!$A$2:$A$1001,customers!$B$2:$B$1001,,0)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 MATCH(orders!$D177, products!$A$1:$A$49, 0), MATCH(orders!I$1, products!$A$1:$G$1, 0))</f>
        <v>Exc</v>
      </c>
      <c r="J177" t="str">
        <f>INDEX(products!$A$1:$G$49, MATCH(orders!$D177, products!$A$1:$A$49, 0), MATCH(orders!J$1, products!$A$1:$G$1, 0))</f>
        <v>M</v>
      </c>
      <c r="K177" s="5">
        <f>INDEX(products!$A$1:$G$49, MATCH(orders!$D177, products!$A$1:$A$49, 0), MATCH(orders!K$1, products!$A$1:$G$1, 0))</f>
        <v>2.5</v>
      </c>
      <c r="L177" s="6">
        <f>INDEX(products!$A$1:$G$49, MATCH(orders!$D177, products!$A$1:$A$49, 0), MATCH(orders!L$1, products!$A$1:$G$1, 0))</f>
        <v>31.624999999999996</v>
      </c>
      <c r="M177" s="6">
        <f t="shared" si="7"/>
        <v>63.249999999999993</v>
      </c>
      <c r="N177" t="str">
        <f t="shared" si="8"/>
        <v>Excelsa</v>
      </c>
      <c r="O177" t="str">
        <f t="shared" si="6"/>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_xlfn.XLOOKUP(C178,customers!$A$2:$A$1001,customers!$B$2:$B$1001,,0)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 MATCH(orders!$D178, products!$A$1:$A$49, 0), MATCH(orders!I$1, products!$A$1:$G$1, 0))</f>
        <v>Exc</v>
      </c>
      <c r="J178" t="str">
        <f>INDEX(products!$A$1:$G$49, MATCH(orders!$D178, products!$A$1:$A$49, 0), MATCH(orders!J$1, products!$A$1:$G$1, 0))</f>
        <v>L</v>
      </c>
      <c r="K178" s="5">
        <f>INDEX(products!$A$1:$G$49, MATCH(orders!$D178, products!$A$1:$A$49, 0), MATCH(orders!K$1, products!$A$1:$G$1, 0))</f>
        <v>2.5</v>
      </c>
      <c r="L178" s="6">
        <f>INDEX(products!$A$1:$G$49, MATCH(orders!$D178, products!$A$1:$A$49, 0), MATCH(orders!L$1, products!$A$1:$G$1, 0))</f>
        <v>34.154999999999994</v>
      </c>
      <c r="M178" s="6">
        <f t="shared" si="7"/>
        <v>34.154999999999994</v>
      </c>
      <c r="N178" t="str">
        <f t="shared" si="8"/>
        <v>Excelsa</v>
      </c>
      <c r="O178" t="str">
        <f t="shared" si="6"/>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_xlfn.XLOOKUP(C179,customers!$A$2:$A$1001,customers!$B$2:$B$1001,,0)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 MATCH(orders!$D179, products!$A$1:$A$49, 0), MATCH(orders!I$1, products!$A$1:$G$1, 0))</f>
        <v>Rob</v>
      </c>
      <c r="J179" t="str">
        <f>INDEX(products!$A$1:$G$49, MATCH(orders!$D179, products!$A$1:$A$49, 0), MATCH(orders!J$1, products!$A$1:$G$1, 0))</f>
        <v>L</v>
      </c>
      <c r="K179" s="5">
        <f>INDEX(products!$A$1:$G$49, MATCH(orders!$D179, products!$A$1:$A$49, 0), MATCH(orders!K$1, products!$A$1:$G$1, 0))</f>
        <v>2.5</v>
      </c>
      <c r="L179" s="6">
        <f>INDEX(products!$A$1:$G$49, MATCH(orders!$D179, products!$A$1:$A$49, 0), MATCH(orders!L$1, products!$A$1:$G$1, 0))</f>
        <v>27.484999999999996</v>
      </c>
      <c r="M179" s="6">
        <f t="shared" si="7"/>
        <v>109.93999999999998</v>
      </c>
      <c r="N179" t="str">
        <f t="shared" si="8"/>
        <v>Robusta</v>
      </c>
      <c r="O179" t="str">
        <f t="shared" si="6"/>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_xlfn.XLOOKUP(C180,customers!$A$2:$A$1001,customers!$B$2:$B$1001,,0)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 MATCH(orders!$D180, products!$A$1:$A$49, 0), MATCH(orders!I$1, products!$A$1:$G$1, 0))</f>
        <v>Ara</v>
      </c>
      <c r="J180" t="str">
        <f>INDEX(products!$A$1:$G$49, MATCH(orders!$D180, products!$A$1:$A$49, 0), MATCH(orders!J$1, products!$A$1:$G$1, 0))</f>
        <v>L</v>
      </c>
      <c r="K180" s="5">
        <f>INDEX(products!$A$1:$G$49, MATCH(orders!$D180, products!$A$1:$A$49, 0), MATCH(orders!K$1, products!$A$1:$G$1, 0))</f>
        <v>1</v>
      </c>
      <c r="L180" s="6">
        <f>INDEX(products!$A$1:$G$49, MATCH(orders!$D180, products!$A$1:$A$49, 0), MATCH(orders!L$1, products!$A$1:$G$1, 0))</f>
        <v>12.95</v>
      </c>
      <c r="M180" s="6">
        <f t="shared" si="7"/>
        <v>25.9</v>
      </c>
      <c r="N180" t="str">
        <f t="shared" si="8"/>
        <v>Arabica</v>
      </c>
      <c r="O180" t="str">
        <f t="shared" si="6"/>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_xlfn.XLOOKUP(C181,customers!$A$2:$A$1001,customers!$B$2:$B$1001,,0)</f>
        <v>Tiffany Scardafield</v>
      </c>
      <c r="G181" s="2" t="str">
        <f>IF(_xlfn.XLOOKUP(C181,customers!$A$1:$A$1001,customers!$C$1:$C$1001,,0)=0,"",_xlfn.XLOOKUP(C181,customers!$A$1:$A$1001,customers!$C$1:$C$1001,,0))</f>
        <v/>
      </c>
      <c r="H181" s="2" t="str">
        <f>_xlfn.XLOOKUP(C181,customers!$A$1:$A$1001,customers!$G$1:$G$1001,,0)</f>
        <v>Ireland</v>
      </c>
      <c r="I181" t="str">
        <f>INDEX(products!$A$1:$G$49, MATCH(orders!$D181, products!$A$1:$A$49, 0), MATCH(orders!I$1, products!$A$1:$G$1, 0))</f>
        <v>Ara</v>
      </c>
      <c r="J181" t="str">
        <f>INDEX(products!$A$1:$G$49, MATCH(orders!$D181, products!$A$1:$A$49, 0), MATCH(orders!J$1, products!$A$1:$G$1, 0))</f>
        <v>D</v>
      </c>
      <c r="K181" s="5">
        <f>INDEX(products!$A$1:$G$49, MATCH(orders!$D181, products!$A$1:$A$49, 0), MATCH(orders!K$1, products!$A$1:$G$1, 0))</f>
        <v>0.2</v>
      </c>
      <c r="L181" s="6">
        <f>INDEX(products!$A$1:$G$49, MATCH(orders!$D181, products!$A$1:$A$49, 0), MATCH(orders!L$1, products!$A$1:$G$1, 0))</f>
        <v>2.9849999999999999</v>
      </c>
      <c r="M181" s="6">
        <f t="shared" si="7"/>
        <v>2.9849999999999999</v>
      </c>
      <c r="N181" t="str">
        <f t="shared" si="8"/>
        <v>Arabica</v>
      </c>
      <c r="O181" t="str">
        <f t="shared" si="6"/>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_xlfn.XLOOKUP(C182,customers!$A$2:$A$1001,customers!$B$2:$B$1001,,0)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 MATCH(orders!$D182, products!$A$1:$A$49, 0), MATCH(orders!I$1, products!$A$1:$G$1, 0))</f>
        <v>Exc</v>
      </c>
      <c r="J182" t="str">
        <f>INDEX(products!$A$1:$G$49, MATCH(orders!$D182, products!$A$1:$A$49, 0), MATCH(orders!J$1, products!$A$1:$G$1, 0))</f>
        <v>L</v>
      </c>
      <c r="K182" s="5">
        <f>INDEX(products!$A$1:$G$49, MATCH(orders!$D182, products!$A$1:$A$49, 0), MATCH(orders!K$1, products!$A$1:$G$1, 0))</f>
        <v>0.2</v>
      </c>
      <c r="L182" s="6">
        <f>INDEX(products!$A$1:$G$49, MATCH(orders!$D182, products!$A$1:$A$49, 0), MATCH(orders!L$1, products!$A$1:$G$1, 0))</f>
        <v>4.4550000000000001</v>
      </c>
      <c r="M182" s="6">
        <f t="shared" si="7"/>
        <v>22.274999999999999</v>
      </c>
      <c r="N182" t="str">
        <f t="shared" si="8"/>
        <v>Excelsa</v>
      </c>
      <c r="O182" t="str">
        <f t="shared" si="6"/>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_xlfn.XLOOKUP(C183,customers!$A$2:$A$1001,customers!$B$2:$B$1001,,0)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 MATCH(orders!$D183, products!$A$1:$A$49, 0), MATCH(orders!I$1, products!$A$1:$G$1, 0))</f>
        <v>Ara</v>
      </c>
      <c r="J183" t="str">
        <f>INDEX(products!$A$1:$G$49, MATCH(orders!$D183, products!$A$1:$A$49, 0), MATCH(orders!J$1, products!$A$1:$G$1, 0))</f>
        <v>D</v>
      </c>
      <c r="K183" s="5">
        <f>INDEX(products!$A$1:$G$49, MATCH(orders!$D183, products!$A$1:$A$49, 0), MATCH(orders!K$1, products!$A$1:$G$1, 0))</f>
        <v>0.5</v>
      </c>
      <c r="L183" s="6">
        <f>INDEX(products!$A$1:$G$49, MATCH(orders!$D183, products!$A$1:$A$49, 0), MATCH(orders!L$1, products!$A$1:$G$1, 0))</f>
        <v>5.97</v>
      </c>
      <c r="M183" s="6">
        <f t="shared" si="7"/>
        <v>29.849999999999998</v>
      </c>
      <c r="N183" t="str">
        <f t="shared" si="8"/>
        <v>Arabica</v>
      </c>
      <c r="O183" t="str">
        <f t="shared" si="6"/>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_xlfn.XLOOKUP(C184,customers!$A$2:$A$1001,customers!$B$2:$B$1001,,0)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 MATCH(orders!$D184, products!$A$1:$A$49, 0), MATCH(orders!I$1, products!$A$1:$G$1, 0))</f>
        <v>Rob</v>
      </c>
      <c r="J184" t="str">
        <f>INDEX(products!$A$1:$G$49, MATCH(orders!$D184, products!$A$1:$A$49, 0), MATCH(orders!J$1, products!$A$1:$G$1, 0))</f>
        <v>D</v>
      </c>
      <c r="K184" s="5">
        <f>INDEX(products!$A$1:$G$49, MATCH(orders!$D184, products!$A$1:$A$49, 0), MATCH(orders!K$1, products!$A$1:$G$1, 0))</f>
        <v>0.5</v>
      </c>
      <c r="L184" s="6">
        <f>INDEX(products!$A$1:$G$49, MATCH(orders!$D184, products!$A$1:$A$49, 0), MATCH(orders!L$1, products!$A$1:$G$1, 0))</f>
        <v>5.3699999999999992</v>
      </c>
      <c r="M184" s="6">
        <f t="shared" si="7"/>
        <v>32.22</v>
      </c>
      <c r="N184" t="str">
        <f t="shared" si="8"/>
        <v>Robusta</v>
      </c>
      <c r="O184" t="str">
        <f t="shared" si="6"/>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_xlfn.XLOOKUP(C185,customers!$A$2:$A$1001,customers!$B$2:$B$1001,,0)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 MATCH(orders!$D185, products!$A$1:$A$49, 0), MATCH(orders!I$1, products!$A$1:$G$1, 0))</f>
        <v>Exc</v>
      </c>
      <c r="J185" t="str">
        <f>INDEX(products!$A$1:$G$49, MATCH(orders!$D185, products!$A$1:$A$49, 0), MATCH(orders!J$1, products!$A$1:$G$1, 0))</f>
        <v>M</v>
      </c>
      <c r="K185" s="5">
        <f>INDEX(products!$A$1:$G$49, MATCH(orders!$D185, products!$A$1:$A$49, 0), MATCH(orders!K$1, products!$A$1:$G$1, 0))</f>
        <v>0.2</v>
      </c>
      <c r="L185" s="6">
        <f>INDEX(products!$A$1:$G$49, MATCH(orders!$D185, products!$A$1:$A$49, 0), MATCH(orders!L$1, products!$A$1:$G$1, 0))</f>
        <v>4.125</v>
      </c>
      <c r="M185" s="6">
        <f t="shared" si="7"/>
        <v>8.25</v>
      </c>
      <c r="N185" t="str">
        <f t="shared" si="8"/>
        <v>Excelsa</v>
      </c>
      <c r="O185" t="str">
        <f t="shared" si="6"/>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_xlfn.XLOOKUP(C186,customers!$A$2:$A$1001,customers!$B$2:$B$1001,,0)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 MATCH(orders!$D186, products!$A$1:$A$49, 0), MATCH(orders!I$1, products!$A$1:$G$1, 0))</f>
        <v>Ara</v>
      </c>
      <c r="J186" t="str">
        <f>INDEX(products!$A$1:$G$49, MATCH(orders!$D186, products!$A$1:$A$49, 0), MATCH(orders!J$1, products!$A$1:$G$1, 0))</f>
        <v>L</v>
      </c>
      <c r="K186" s="5">
        <f>INDEX(products!$A$1:$G$49, MATCH(orders!$D186, products!$A$1:$A$49, 0), MATCH(orders!K$1, products!$A$1:$G$1, 0))</f>
        <v>0.5</v>
      </c>
      <c r="L186" s="6">
        <f>INDEX(products!$A$1:$G$49, MATCH(orders!$D186, products!$A$1:$A$49, 0), MATCH(orders!L$1, products!$A$1:$G$1, 0))</f>
        <v>7.77</v>
      </c>
      <c r="M186" s="6">
        <f t="shared" si="7"/>
        <v>31.08</v>
      </c>
      <c r="N186" t="str">
        <f t="shared" si="8"/>
        <v>Arabica</v>
      </c>
      <c r="O186" t="str">
        <f t="shared" si="6"/>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_xlfn.XLOOKUP(C187,customers!$A$2:$A$1001,customers!$B$2:$B$1001,,0)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 MATCH(orders!$D187, products!$A$1:$A$49, 0), MATCH(orders!I$1, products!$A$1:$G$1, 0))</f>
        <v>Exc</v>
      </c>
      <c r="J187" t="str">
        <f>INDEX(products!$A$1:$G$49, MATCH(orders!$D187, products!$A$1:$A$49, 0), MATCH(orders!J$1, products!$A$1:$G$1, 0))</f>
        <v>D</v>
      </c>
      <c r="K187" s="5">
        <f>INDEX(products!$A$1:$G$49, MATCH(orders!$D187, products!$A$1:$A$49, 0), MATCH(orders!K$1, products!$A$1:$G$1, 0))</f>
        <v>0.5</v>
      </c>
      <c r="L187" s="6">
        <f>INDEX(products!$A$1:$G$49, MATCH(orders!$D187, products!$A$1:$A$49, 0), MATCH(orders!L$1, products!$A$1:$G$1, 0))</f>
        <v>7.29</v>
      </c>
      <c r="M187" s="6">
        <f t="shared" si="7"/>
        <v>36.450000000000003</v>
      </c>
      <c r="N187" t="str">
        <f t="shared" si="8"/>
        <v>Excelsa</v>
      </c>
      <c r="O187" t="str">
        <f t="shared" si="6"/>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_xlfn.XLOOKUP(C188,customers!$A$2:$A$1001,customers!$B$2:$B$1001,,0)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 MATCH(orders!$D188, products!$A$1:$A$49, 0), MATCH(orders!I$1, products!$A$1:$G$1, 0))</f>
        <v>Rob</v>
      </c>
      <c r="J188" t="str">
        <f>INDEX(products!$A$1:$G$49, MATCH(orders!$D188, products!$A$1:$A$49, 0), MATCH(orders!J$1, products!$A$1:$G$1, 0))</f>
        <v>M</v>
      </c>
      <c r="K188" s="5">
        <f>INDEX(products!$A$1:$G$49, MATCH(orders!$D188, products!$A$1:$A$49, 0), MATCH(orders!K$1, products!$A$1:$G$1, 0))</f>
        <v>2.5</v>
      </c>
      <c r="L188" s="6">
        <f>INDEX(products!$A$1:$G$49, MATCH(orders!$D188, products!$A$1:$A$49, 0), MATCH(orders!L$1, products!$A$1:$G$1, 0))</f>
        <v>22.884999999999998</v>
      </c>
      <c r="M188" s="6">
        <f t="shared" si="7"/>
        <v>68.655000000000001</v>
      </c>
      <c r="N188" t="str">
        <f t="shared" si="8"/>
        <v>Robusta</v>
      </c>
      <c r="O188" t="str">
        <f t="shared" si="6"/>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_xlfn.XLOOKUP(C189,customers!$A$2:$A$1001,customers!$B$2:$B$1001,,0)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 MATCH(orders!$D189, products!$A$1:$A$49, 0), MATCH(orders!I$1, products!$A$1:$G$1, 0))</f>
        <v>Lib</v>
      </c>
      <c r="J189" t="str">
        <f>INDEX(products!$A$1:$G$49, MATCH(orders!$D189, products!$A$1:$A$49, 0), MATCH(orders!J$1, products!$A$1:$G$1, 0))</f>
        <v>M</v>
      </c>
      <c r="K189" s="5">
        <f>INDEX(products!$A$1:$G$49, MATCH(orders!$D189, products!$A$1:$A$49, 0), MATCH(orders!K$1, products!$A$1:$G$1, 0))</f>
        <v>0.5</v>
      </c>
      <c r="L189" s="6">
        <f>INDEX(products!$A$1:$G$49, MATCH(orders!$D189, products!$A$1:$A$49, 0), MATCH(orders!L$1, products!$A$1:$G$1, 0))</f>
        <v>8.73</v>
      </c>
      <c r="M189" s="6">
        <f t="shared" si="7"/>
        <v>43.650000000000006</v>
      </c>
      <c r="N189" t="str">
        <f t="shared" si="8"/>
        <v>Liberica</v>
      </c>
      <c r="O189" t="str">
        <f t="shared" si="6"/>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_xlfn.XLOOKUP(C190,customers!$A$2:$A$1001,customers!$B$2:$B$1001,,0)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 MATCH(orders!$D190, products!$A$1:$A$49, 0), MATCH(orders!I$1, products!$A$1:$G$1, 0))</f>
        <v>Exc</v>
      </c>
      <c r="J190" t="str">
        <f>INDEX(products!$A$1:$G$49, MATCH(orders!$D190, products!$A$1:$A$49, 0), MATCH(orders!J$1, products!$A$1:$G$1, 0))</f>
        <v>L</v>
      </c>
      <c r="K190" s="5">
        <f>INDEX(products!$A$1:$G$49, MATCH(orders!$D190, products!$A$1:$A$49, 0), MATCH(orders!K$1, products!$A$1:$G$1, 0))</f>
        <v>0.2</v>
      </c>
      <c r="L190" s="6">
        <f>INDEX(products!$A$1:$G$49, MATCH(orders!$D190, products!$A$1:$A$49, 0), MATCH(orders!L$1, products!$A$1:$G$1, 0))</f>
        <v>4.4550000000000001</v>
      </c>
      <c r="M190" s="6">
        <f t="shared" si="7"/>
        <v>4.4550000000000001</v>
      </c>
      <c r="N190" t="str">
        <f t="shared" si="8"/>
        <v>Excelsa</v>
      </c>
      <c r="O190" t="str">
        <f t="shared" si="6"/>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_xlfn.XLOOKUP(C191,customers!$A$2:$A$1001,customers!$B$2:$B$1001,,0)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 MATCH(orders!$D191, products!$A$1:$A$49, 0), MATCH(orders!I$1, products!$A$1:$G$1, 0))</f>
        <v>Lib</v>
      </c>
      <c r="J191" t="str">
        <f>INDEX(products!$A$1:$G$49, MATCH(orders!$D191, products!$A$1:$A$49, 0), MATCH(orders!J$1, products!$A$1:$G$1, 0))</f>
        <v>M</v>
      </c>
      <c r="K191" s="5">
        <f>INDEX(products!$A$1:$G$49, MATCH(orders!$D191, products!$A$1:$A$49, 0), MATCH(orders!K$1, products!$A$1:$G$1, 0))</f>
        <v>1</v>
      </c>
      <c r="L191" s="6">
        <f>INDEX(products!$A$1:$G$49, MATCH(orders!$D191, products!$A$1:$A$49, 0), MATCH(orders!L$1, products!$A$1:$G$1, 0))</f>
        <v>14.55</v>
      </c>
      <c r="M191" s="6">
        <f t="shared" si="7"/>
        <v>43.650000000000006</v>
      </c>
      <c r="N191" t="str">
        <f t="shared" si="8"/>
        <v>Liberica</v>
      </c>
      <c r="O191" t="str">
        <f t="shared" si="6"/>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_xlfn.XLOOKUP(C192,customers!$A$2:$A$1001,customers!$B$2:$B$1001,,0)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 MATCH(orders!$D192, products!$A$1:$A$49, 0), MATCH(orders!I$1, products!$A$1:$G$1, 0))</f>
        <v>Lib</v>
      </c>
      <c r="J192" t="str">
        <f>INDEX(products!$A$1:$G$49, MATCH(orders!$D192, products!$A$1:$A$49, 0), MATCH(orders!J$1, products!$A$1:$G$1, 0))</f>
        <v>M</v>
      </c>
      <c r="K192" s="5">
        <f>INDEX(products!$A$1:$G$49, MATCH(orders!$D192, products!$A$1:$A$49, 0), MATCH(orders!K$1, products!$A$1:$G$1, 0))</f>
        <v>2.5</v>
      </c>
      <c r="L192" s="6">
        <f>INDEX(products!$A$1:$G$49, MATCH(orders!$D192, products!$A$1:$A$49, 0), MATCH(orders!L$1, products!$A$1:$G$1, 0))</f>
        <v>33.464999999999996</v>
      </c>
      <c r="M192" s="6">
        <f t="shared" si="7"/>
        <v>33.464999999999996</v>
      </c>
      <c r="N192" t="str">
        <f t="shared" si="8"/>
        <v>Liberica</v>
      </c>
      <c r="O192" t="str">
        <f t="shared" si="6"/>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_xlfn.XLOOKUP(C193,customers!$A$2:$A$1001,customers!$B$2:$B$1001,,0)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 MATCH(orders!$D193, products!$A$1:$A$49, 0), MATCH(orders!I$1, products!$A$1:$G$1, 0))</f>
        <v>Lib</v>
      </c>
      <c r="J193" t="str">
        <f>INDEX(products!$A$1:$G$49, MATCH(orders!$D193, products!$A$1:$A$49, 0), MATCH(orders!J$1, products!$A$1:$G$1, 0))</f>
        <v>D</v>
      </c>
      <c r="K193" s="5">
        <f>INDEX(products!$A$1:$G$49, MATCH(orders!$D193, products!$A$1:$A$49, 0), MATCH(orders!K$1, products!$A$1:$G$1, 0))</f>
        <v>0.2</v>
      </c>
      <c r="L193" s="6">
        <f>INDEX(products!$A$1:$G$49, MATCH(orders!$D193, products!$A$1:$A$49, 0), MATCH(orders!L$1, products!$A$1:$G$1, 0))</f>
        <v>3.8849999999999998</v>
      </c>
      <c r="M193" s="6">
        <f t="shared" si="7"/>
        <v>19.424999999999997</v>
      </c>
      <c r="N193" t="str">
        <f t="shared" si="8"/>
        <v>Liberica</v>
      </c>
      <c r="O193" t="str">
        <f t="shared" si="6"/>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_xlfn.XLOOKUP(C194,customers!$A$2:$A$1001,customers!$B$2:$B$1001,,0)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 MATCH(orders!$D194, products!$A$1:$A$49, 0), MATCH(orders!I$1, products!$A$1:$G$1, 0))</f>
        <v>Exc</v>
      </c>
      <c r="J194" t="str">
        <f>INDEX(products!$A$1:$G$49, MATCH(orders!$D194, products!$A$1:$A$49, 0), MATCH(orders!J$1, products!$A$1:$G$1, 0))</f>
        <v>D</v>
      </c>
      <c r="K194" s="5">
        <f>INDEX(products!$A$1:$G$49, MATCH(orders!$D194, products!$A$1:$A$49, 0), MATCH(orders!K$1, products!$A$1:$G$1, 0))</f>
        <v>1</v>
      </c>
      <c r="L194" s="6">
        <f>INDEX(products!$A$1:$G$49, MATCH(orders!$D194, products!$A$1:$A$49, 0), MATCH(orders!L$1, products!$A$1:$G$1, 0))</f>
        <v>12.15</v>
      </c>
      <c r="M194" s="6">
        <f t="shared" si="7"/>
        <v>72.900000000000006</v>
      </c>
      <c r="N194" t="str">
        <f t="shared" si="8"/>
        <v>Excelsa</v>
      </c>
      <c r="O194" t="str">
        <f t="shared" ref="O194:O257" si="9">IF(J194="M","Medium",IF(J194="l","Light",IF(J194="d","Dark","")))</f>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_xlfn.XLOOKUP(C195,customers!$A$2:$A$1001,customers!$B$2:$B$1001,,0)</f>
        <v>Kimberli Mustchin</v>
      </c>
      <c r="G195" s="2" t="str">
        <f>IF(_xlfn.XLOOKUP(C195,customers!$A$1:$A$1001,customers!$C$1:$C$1001,,0)=0,"",_xlfn.XLOOKUP(C195,customers!$A$1:$A$1001,customers!$C$1:$C$1001,,0))</f>
        <v/>
      </c>
      <c r="H195" s="2" t="str">
        <f>_xlfn.XLOOKUP(C195,customers!$A$1:$A$1001,customers!$G$1:$G$1001,,0)</f>
        <v>United States</v>
      </c>
      <c r="I195" t="str">
        <f>INDEX(products!$A$1:$G$49, MATCH(orders!$D195, products!$A$1:$A$49, 0), MATCH(orders!I$1, products!$A$1:$G$1, 0))</f>
        <v>Exc</v>
      </c>
      <c r="J195" t="str">
        <f>INDEX(products!$A$1:$G$49, MATCH(orders!$D195, products!$A$1:$A$49, 0), MATCH(orders!J$1, products!$A$1:$G$1, 0))</f>
        <v>L</v>
      </c>
      <c r="K195" s="5">
        <f>INDEX(products!$A$1:$G$49, MATCH(orders!$D195, products!$A$1:$A$49, 0), MATCH(orders!K$1, products!$A$1:$G$1, 0))</f>
        <v>1</v>
      </c>
      <c r="L195" s="6">
        <f>INDEX(products!$A$1:$G$49, MATCH(orders!$D195, products!$A$1:$A$49, 0), MATCH(orders!L$1, products!$A$1:$G$1, 0))</f>
        <v>14.85</v>
      </c>
      <c r="M195" s="6">
        <f t="shared" ref="M195:M258" si="10">L195*E195</f>
        <v>44.55</v>
      </c>
      <c r="N195" t="str">
        <f t="shared" ref="N195:N258" si="11">IF(I195="Rob","Robusta",IF(I195="Exc","Excelsa",IF(I195="Ara","Arabica",IF(I195="lib","Liberica",""))))</f>
        <v>Excelsa</v>
      </c>
      <c r="O195" t="str">
        <f t="shared" si="9"/>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_xlfn.XLOOKUP(C196,customers!$A$2:$A$1001,customers!$B$2:$B$1001,,0)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 MATCH(orders!$D196, products!$A$1:$A$49, 0), MATCH(orders!I$1, products!$A$1:$G$1, 0))</f>
        <v>Exc</v>
      </c>
      <c r="J196" t="str">
        <f>INDEX(products!$A$1:$G$49, MATCH(orders!$D196, products!$A$1:$A$49, 0), MATCH(orders!J$1, products!$A$1:$G$1, 0))</f>
        <v>D</v>
      </c>
      <c r="K196" s="5">
        <f>INDEX(products!$A$1:$G$49, MATCH(orders!$D196, products!$A$1:$A$49, 0), MATCH(orders!K$1, products!$A$1:$G$1, 0))</f>
        <v>0.5</v>
      </c>
      <c r="L196" s="6">
        <f>INDEX(products!$A$1:$G$49, MATCH(orders!$D196, products!$A$1:$A$49, 0), MATCH(orders!L$1, products!$A$1:$G$1, 0))</f>
        <v>7.29</v>
      </c>
      <c r="M196" s="6">
        <f t="shared" si="10"/>
        <v>36.450000000000003</v>
      </c>
      <c r="N196" t="str">
        <f t="shared" si="11"/>
        <v>Excelsa</v>
      </c>
      <c r="O196" t="str">
        <f t="shared" si="9"/>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_xlfn.XLOOKUP(C197,customers!$A$2:$A$1001,customers!$B$2:$B$1001,,0)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 MATCH(orders!$D197, products!$A$1:$A$49, 0), MATCH(orders!I$1, products!$A$1:$G$1, 0))</f>
        <v>Ara</v>
      </c>
      <c r="J197" t="str">
        <f>INDEX(products!$A$1:$G$49, MATCH(orders!$D197, products!$A$1:$A$49, 0), MATCH(orders!J$1, products!$A$1:$G$1, 0))</f>
        <v>L</v>
      </c>
      <c r="K197" s="5">
        <f>INDEX(products!$A$1:$G$49, MATCH(orders!$D197, products!$A$1:$A$49, 0), MATCH(orders!K$1, products!$A$1:$G$1, 0))</f>
        <v>1</v>
      </c>
      <c r="L197" s="6">
        <f>INDEX(products!$A$1:$G$49, MATCH(orders!$D197, products!$A$1:$A$49, 0), MATCH(orders!L$1, products!$A$1:$G$1, 0))</f>
        <v>12.95</v>
      </c>
      <c r="M197" s="6">
        <f t="shared" si="10"/>
        <v>38.849999999999994</v>
      </c>
      <c r="N197" t="str">
        <f t="shared" si="11"/>
        <v>Arabica</v>
      </c>
      <c r="O197" t="str">
        <f t="shared" si="9"/>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_xlfn.XLOOKUP(C198,customers!$A$2:$A$1001,customers!$B$2:$B$1001,,0)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 MATCH(orders!$D198, products!$A$1:$A$49, 0), MATCH(orders!I$1, products!$A$1:$G$1, 0))</f>
        <v>Exc</v>
      </c>
      <c r="J198" t="str">
        <f>INDEX(products!$A$1:$G$49, MATCH(orders!$D198, products!$A$1:$A$49, 0), MATCH(orders!J$1, products!$A$1:$G$1, 0))</f>
        <v>L</v>
      </c>
      <c r="K198" s="5">
        <f>INDEX(products!$A$1:$G$49, MATCH(orders!$D198, products!$A$1:$A$49, 0), MATCH(orders!K$1, products!$A$1:$G$1, 0))</f>
        <v>0.5</v>
      </c>
      <c r="L198" s="6">
        <f>INDEX(products!$A$1:$G$49, MATCH(orders!$D198, products!$A$1:$A$49, 0), MATCH(orders!L$1, products!$A$1:$G$1, 0))</f>
        <v>8.91</v>
      </c>
      <c r="M198" s="6">
        <f t="shared" si="10"/>
        <v>53.46</v>
      </c>
      <c r="N198" t="str">
        <f t="shared" si="11"/>
        <v>Excelsa</v>
      </c>
      <c r="O198" t="str">
        <f t="shared" si="9"/>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_xlfn.XLOOKUP(C199,customers!$A$2:$A$1001,customers!$B$2:$B$1001,,0)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 MATCH(orders!$D199, products!$A$1:$A$49, 0), MATCH(orders!I$1, products!$A$1:$G$1, 0))</f>
        <v>Lib</v>
      </c>
      <c r="J199" t="str">
        <f>INDEX(products!$A$1:$G$49, MATCH(orders!$D199, products!$A$1:$A$49, 0), MATCH(orders!J$1, products!$A$1:$G$1, 0))</f>
        <v>D</v>
      </c>
      <c r="K199" s="5">
        <f>INDEX(products!$A$1:$G$49, MATCH(orders!$D199, products!$A$1:$A$49, 0), MATCH(orders!K$1, products!$A$1:$G$1, 0))</f>
        <v>2.5</v>
      </c>
      <c r="L199" s="6">
        <f>INDEX(products!$A$1:$G$49, MATCH(orders!$D199, products!$A$1:$A$49, 0), MATCH(orders!L$1, products!$A$1:$G$1, 0))</f>
        <v>29.784999999999997</v>
      </c>
      <c r="M199" s="6">
        <f t="shared" si="10"/>
        <v>59.569999999999993</v>
      </c>
      <c r="N199" t="str">
        <f t="shared" si="11"/>
        <v>Liberica</v>
      </c>
      <c r="O199" t="str">
        <f t="shared" si="9"/>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_xlfn.XLOOKUP(C200,customers!$A$2:$A$1001,customers!$B$2:$B$1001,,0)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 MATCH(orders!$D200, products!$A$1:$A$49, 0), MATCH(orders!I$1, products!$A$1:$G$1, 0))</f>
        <v>Lib</v>
      </c>
      <c r="J200" t="str">
        <f>INDEX(products!$A$1:$G$49, MATCH(orders!$D200, products!$A$1:$A$49, 0), MATCH(orders!J$1, products!$A$1:$G$1, 0))</f>
        <v>D</v>
      </c>
      <c r="K200" s="5">
        <f>INDEX(products!$A$1:$G$49, MATCH(orders!$D200, products!$A$1:$A$49, 0), MATCH(orders!K$1, products!$A$1:$G$1, 0))</f>
        <v>2.5</v>
      </c>
      <c r="L200" s="6">
        <f>INDEX(products!$A$1:$G$49, MATCH(orders!$D200, products!$A$1:$A$49, 0), MATCH(orders!L$1, products!$A$1:$G$1, 0))</f>
        <v>29.784999999999997</v>
      </c>
      <c r="M200" s="6">
        <f t="shared" si="10"/>
        <v>89.35499999999999</v>
      </c>
      <c r="N200" t="str">
        <f t="shared" si="11"/>
        <v>Liberica</v>
      </c>
      <c r="O200" t="str">
        <f t="shared" si="9"/>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_xlfn.XLOOKUP(C201,customers!$A$2:$A$1001,customers!$B$2:$B$1001,,0)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 MATCH(orders!$D201, products!$A$1:$A$49, 0), MATCH(orders!I$1, products!$A$1:$G$1, 0))</f>
        <v>Lib</v>
      </c>
      <c r="J201" t="str">
        <f>INDEX(products!$A$1:$G$49, MATCH(orders!$D201, products!$A$1:$A$49, 0), MATCH(orders!J$1, products!$A$1:$G$1, 0))</f>
        <v>L</v>
      </c>
      <c r="K201" s="5">
        <f>INDEX(products!$A$1:$G$49, MATCH(orders!$D201, products!$A$1:$A$49, 0), MATCH(orders!K$1, products!$A$1:$G$1, 0))</f>
        <v>0.5</v>
      </c>
      <c r="L201" s="6">
        <f>INDEX(products!$A$1:$G$49, MATCH(orders!$D201, products!$A$1:$A$49, 0), MATCH(orders!L$1, products!$A$1:$G$1, 0))</f>
        <v>9.51</v>
      </c>
      <c r="M201" s="6">
        <f t="shared" si="10"/>
        <v>38.04</v>
      </c>
      <c r="N201" t="str">
        <f t="shared" si="11"/>
        <v>Liberica</v>
      </c>
      <c r="O201" t="str">
        <f t="shared" si="9"/>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_xlfn.XLOOKUP(C202,customers!$A$2:$A$1001,customers!$B$2:$B$1001,,0)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 MATCH(orders!$D202, products!$A$1:$A$49, 0), MATCH(orders!I$1, products!$A$1:$G$1, 0))</f>
        <v>Exc</v>
      </c>
      <c r="J202" t="str">
        <f>INDEX(products!$A$1:$G$49, MATCH(orders!$D202, products!$A$1:$A$49, 0), MATCH(orders!J$1, products!$A$1:$G$1, 0))</f>
        <v>M</v>
      </c>
      <c r="K202" s="5">
        <f>INDEX(products!$A$1:$G$49, MATCH(orders!$D202, products!$A$1:$A$49, 0), MATCH(orders!K$1, products!$A$1:$G$1, 0))</f>
        <v>1</v>
      </c>
      <c r="L202" s="6">
        <f>INDEX(products!$A$1:$G$49, MATCH(orders!$D202, products!$A$1:$A$49, 0), MATCH(orders!L$1, products!$A$1:$G$1, 0))</f>
        <v>13.75</v>
      </c>
      <c r="M202" s="6">
        <f t="shared" si="10"/>
        <v>41.25</v>
      </c>
      <c r="N202" t="str">
        <f t="shared" si="11"/>
        <v>Excelsa</v>
      </c>
      <c r="O202" t="str">
        <f t="shared" si="9"/>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_xlfn.XLOOKUP(C203,customers!$A$2:$A$1001,customers!$B$2:$B$1001,,0)</f>
        <v>Adriana Lazarus</v>
      </c>
      <c r="G203" s="2" t="str">
        <f>IF(_xlfn.XLOOKUP(C203,customers!$A$1:$A$1001,customers!$C$1:$C$1001,,0)=0,"",_xlfn.XLOOKUP(C203,customers!$A$1:$A$1001,customers!$C$1:$C$1001,,0))</f>
        <v/>
      </c>
      <c r="H203" s="2" t="str">
        <f>_xlfn.XLOOKUP(C203,customers!$A$1:$A$1001,customers!$G$1:$G$1001,,0)</f>
        <v>United States</v>
      </c>
      <c r="I203" t="str">
        <f>INDEX(products!$A$1:$G$49, MATCH(orders!$D203, products!$A$1:$A$49, 0), MATCH(orders!I$1, products!$A$1:$G$1, 0))</f>
        <v>Lib</v>
      </c>
      <c r="J203" t="str">
        <f>INDEX(products!$A$1:$G$49, MATCH(orders!$D203, products!$A$1:$A$49, 0), MATCH(orders!J$1, products!$A$1:$G$1, 0))</f>
        <v>L</v>
      </c>
      <c r="K203" s="5">
        <f>INDEX(products!$A$1:$G$49, MATCH(orders!$D203, products!$A$1:$A$49, 0), MATCH(orders!K$1, products!$A$1:$G$1, 0))</f>
        <v>0.5</v>
      </c>
      <c r="L203" s="6">
        <f>INDEX(products!$A$1:$G$49, MATCH(orders!$D203, products!$A$1:$A$49, 0), MATCH(orders!L$1, products!$A$1:$G$1, 0))</f>
        <v>9.51</v>
      </c>
      <c r="M203" s="6">
        <f t="shared" si="10"/>
        <v>57.06</v>
      </c>
      <c r="N203" t="str">
        <f t="shared" si="11"/>
        <v>Liberica</v>
      </c>
      <c r="O203" t="str">
        <f t="shared" si="9"/>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_xlfn.XLOOKUP(C204,customers!$A$2:$A$1001,customers!$B$2:$B$1001,,0)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 MATCH(orders!$D204, products!$A$1:$A$49, 0), MATCH(orders!I$1, products!$A$1:$G$1, 0))</f>
        <v>Lib</v>
      </c>
      <c r="J204" t="str">
        <f>INDEX(products!$A$1:$G$49, MATCH(orders!$D204, products!$A$1:$A$49, 0), MATCH(orders!J$1, products!$A$1:$G$1, 0))</f>
        <v>D</v>
      </c>
      <c r="K204" s="5">
        <f>INDEX(products!$A$1:$G$49, MATCH(orders!$D204, products!$A$1:$A$49, 0), MATCH(orders!K$1, products!$A$1:$G$1, 0))</f>
        <v>2.5</v>
      </c>
      <c r="L204" s="6">
        <f>INDEX(products!$A$1:$G$49, MATCH(orders!$D204, products!$A$1:$A$49, 0), MATCH(orders!L$1, products!$A$1:$G$1, 0))</f>
        <v>29.784999999999997</v>
      </c>
      <c r="M204" s="6">
        <f t="shared" si="10"/>
        <v>178.70999999999998</v>
      </c>
      <c r="N204" t="str">
        <f t="shared" si="11"/>
        <v>Liberica</v>
      </c>
      <c r="O204" t="str">
        <f t="shared" si="9"/>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_xlfn.XLOOKUP(C205,customers!$A$2:$A$1001,customers!$B$2:$B$1001,,0)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 MATCH(orders!$D205, products!$A$1:$A$49, 0), MATCH(orders!I$1, products!$A$1:$G$1, 0))</f>
        <v>Lib</v>
      </c>
      <c r="J205" t="str">
        <f>INDEX(products!$A$1:$G$49, MATCH(orders!$D205, products!$A$1:$A$49, 0), MATCH(orders!J$1, products!$A$1:$G$1, 0))</f>
        <v>L</v>
      </c>
      <c r="K205" s="5">
        <f>INDEX(products!$A$1:$G$49, MATCH(orders!$D205, products!$A$1:$A$49, 0), MATCH(orders!K$1, products!$A$1:$G$1, 0))</f>
        <v>0.2</v>
      </c>
      <c r="L205" s="6">
        <f>INDEX(products!$A$1:$G$49, MATCH(orders!$D205, products!$A$1:$A$49, 0), MATCH(orders!L$1, products!$A$1:$G$1, 0))</f>
        <v>4.7549999999999999</v>
      </c>
      <c r="M205" s="6">
        <f t="shared" si="10"/>
        <v>4.7549999999999999</v>
      </c>
      <c r="N205" t="str">
        <f t="shared" si="11"/>
        <v>Liberica</v>
      </c>
      <c r="O205" t="str">
        <f t="shared" si="9"/>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_xlfn.XLOOKUP(C206,customers!$A$2:$A$1001,customers!$B$2:$B$1001,,0)</f>
        <v>Sarette Ducarel</v>
      </c>
      <c r="G206" s="2" t="str">
        <f>IF(_xlfn.XLOOKUP(C206,customers!$A$1:$A$1001,customers!$C$1:$C$1001,,0)=0,"",_xlfn.XLOOKUP(C206,customers!$A$1:$A$1001,customers!$C$1:$C$1001,,0))</f>
        <v/>
      </c>
      <c r="H206" s="2" t="str">
        <f>_xlfn.XLOOKUP(C206,customers!$A$1:$A$1001,customers!$G$1:$G$1001,,0)</f>
        <v>United States</v>
      </c>
      <c r="I206" t="str">
        <f>INDEX(products!$A$1:$G$49, MATCH(orders!$D206, products!$A$1:$A$49, 0), MATCH(orders!I$1, products!$A$1:$G$1, 0))</f>
        <v>Exc</v>
      </c>
      <c r="J206" t="str">
        <f>INDEX(products!$A$1:$G$49, MATCH(orders!$D206, products!$A$1:$A$49, 0), MATCH(orders!J$1, products!$A$1:$G$1, 0))</f>
        <v>M</v>
      </c>
      <c r="K206" s="5">
        <f>INDEX(products!$A$1:$G$49, MATCH(orders!$D206, products!$A$1:$A$49, 0), MATCH(orders!K$1, products!$A$1:$G$1, 0))</f>
        <v>1</v>
      </c>
      <c r="L206" s="6">
        <f>INDEX(products!$A$1:$G$49, MATCH(orders!$D206, products!$A$1:$A$49, 0), MATCH(orders!L$1, products!$A$1:$G$1, 0))</f>
        <v>13.75</v>
      </c>
      <c r="M206" s="6">
        <f t="shared" si="10"/>
        <v>82.5</v>
      </c>
      <c r="N206" t="str">
        <f t="shared" si="11"/>
        <v>Excelsa</v>
      </c>
      <c r="O206" t="str">
        <f t="shared" si="9"/>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_xlfn.XLOOKUP(C207,customers!$A$2:$A$1001,customers!$B$2:$B$1001,,0)</f>
        <v>Kendra Glison</v>
      </c>
      <c r="G207" s="2" t="str">
        <f>IF(_xlfn.XLOOKUP(C207,customers!$A$1:$A$1001,customers!$C$1:$C$1001,,0)=0,"",_xlfn.XLOOKUP(C207,customers!$A$1:$A$1001,customers!$C$1:$C$1001,,0))</f>
        <v/>
      </c>
      <c r="H207" s="2" t="str">
        <f>_xlfn.XLOOKUP(C207,customers!$A$1:$A$1001,customers!$G$1:$G$1001,,0)</f>
        <v>United States</v>
      </c>
      <c r="I207" t="str">
        <f>INDEX(products!$A$1:$G$49, MATCH(orders!$D207, products!$A$1:$A$49, 0), MATCH(orders!I$1, products!$A$1:$G$1, 0))</f>
        <v>Rob</v>
      </c>
      <c r="J207" t="str">
        <f>INDEX(products!$A$1:$G$49, MATCH(orders!$D207, products!$A$1:$A$49, 0), MATCH(orders!J$1, products!$A$1:$G$1, 0))</f>
        <v>D</v>
      </c>
      <c r="K207" s="5">
        <f>INDEX(products!$A$1:$G$49, MATCH(orders!$D207, products!$A$1:$A$49, 0), MATCH(orders!K$1, products!$A$1:$G$1, 0))</f>
        <v>0.2</v>
      </c>
      <c r="L207" s="6">
        <f>INDEX(products!$A$1:$G$49, MATCH(orders!$D207, products!$A$1:$A$49, 0), MATCH(orders!L$1, products!$A$1:$G$1, 0))</f>
        <v>2.6849999999999996</v>
      </c>
      <c r="M207" s="6">
        <f t="shared" si="10"/>
        <v>8.0549999999999997</v>
      </c>
      <c r="N207" t="str">
        <f t="shared" si="11"/>
        <v>Robusta</v>
      </c>
      <c r="O207" t="str">
        <f t="shared" si="9"/>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_xlfn.XLOOKUP(C208,customers!$A$2:$A$1001,customers!$B$2:$B$1001,,0)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 MATCH(orders!$D208, products!$A$1:$A$49, 0), MATCH(orders!I$1, products!$A$1:$G$1, 0))</f>
        <v>Ara</v>
      </c>
      <c r="J208" t="str">
        <f>INDEX(products!$A$1:$G$49, MATCH(orders!$D208, products!$A$1:$A$49, 0), MATCH(orders!J$1, products!$A$1:$G$1, 0))</f>
        <v>M</v>
      </c>
      <c r="K208" s="5">
        <f>INDEX(products!$A$1:$G$49, MATCH(orders!$D208, products!$A$1:$A$49, 0), MATCH(orders!K$1, products!$A$1:$G$1, 0))</f>
        <v>1</v>
      </c>
      <c r="L208" s="6">
        <f>INDEX(products!$A$1:$G$49, MATCH(orders!$D208, products!$A$1:$A$49, 0), MATCH(orders!L$1, products!$A$1:$G$1, 0))</f>
        <v>11.25</v>
      </c>
      <c r="M208" s="6">
        <f t="shared" si="10"/>
        <v>22.5</v>
      </c>
      <c r="N208" t="str">
        <f t="shared" si="11"/>
        <v>Arabica</v>
      </c>
      <c r="O208" t="str">
        <f t="shared" si="9"/>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_xlfn.XLOOKUP(C209,customers!$A$2:$A$1001,customers!$B$2:$B$1001,,0)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 MATCH(orders!$D209, products!$A$1:$A$49, 0), MATCH(orders!I$1, products!$A$1:$G$1, 0))</f>
        <v>Ara</v>
      </c>
      <c r="J209" t="str">
        <f>INDEX(products!$A$1:$G$49, MATCH(orders!$D209, products!$A$1:$A$49, 0), MATCH(orders!J$1, products!$A$1:$G$1, 0))</f>
        <v>M</v>
      </c>
      <c r="K209" s="5">
        <f>INDEX(products!$A$1:$G$49, MATCH(orders!$D209, products!$A$1:$A$49, 0), MATCH(orders!K$1, products!$A$1:$G$1, 0))</f>
        <v>0.5</v>
      </c>
      <c r="L209" s="6">
        <f>INDEX(products!$A$1:$G$49, MATCH(orders!$D209, products!$A$1:$A$49, 0), MATCH(orders!L$1, products!$A$1:$G$1, 0))</f>
        <v>6.75</v>
      </c>
      <c r="M209" s="6">
        <f t="shared" si="10"/>
        <v>40.5</v>
      </c>
      <c r="N209" t="str">
        <f t="shared" si="11"/>
        <v>Arabica</v>
      </c>
      <c r="O209" t="str">
        <f t="shared" si="9"/>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_xlfn.XLOOKUP(C210,customers!$A$2:$A$1001,customers!$B$2:$B$1001,,0)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 MATCH(orders!$D210, products!$A$1:$A$49, 0), MATCH(orders!I$1, products!$A$1:$G$1, 0))</f>
        <v>Exc</v>
      </c>
      <c r="J210" t="str">
        <f>INDEX(products!$A$1:$G$49, MATCH(orders!$D210, products!$A$1:$A$49, 0), MATCH(orders!J$1, products!$A$1:$G$1, 0))</f>
        <v>D</v>
      </c>
      <c r="K210" s="5">
        <f>INDEX(products!$A$1:$G$49, MATCH(orders!$D210, products!$A$1:$A$49, 0), MATCH(orders!K$1, products!$A$1:$G$1, 0))</f>
        <v>0.5</v>
      </c>
      <c r="L210" s="6">
        <f>INDEX(products!$A$1:$G$49, MATCH(orders!$D210, products!$A$1:$A$49, 0), MATCH(orders!L$1, products!$A$1:$G$1, 0))</f>
        <v>7.29</v>
      </c>
      <c r="M210" s="6">
        <f t="shared" si="10"/>
        <v>29.16</v>
      </c>
      <c r="N210" t="str">
        <f t="shared" si="11"/>
        <v>Excelsa</v>
      </c>
      <c r="O210" t="str">
        <f t="shared" si="9"/>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_xlfn.XLOOKUP(C211,customers!$A$2:$A$1001,customers!$B$2:$B$1001,,0)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 MATCH(orders!$D211, products!$A$1:$A$49, 0), MATCH(orders!I$1, products!$A$1:$G$1, 0))</f>
        <v>Ara</v>
      </c>
      <c r="J211" t="str">
        <f>INDEX(products!$A$1:$G$49, MATCH(orders!$D211, products!$A$1:$A$49, 0), MATCH(orders!J$1, products!$A$1:$G$1, 0))</f>
        <v>M</v>
      </c>
      <c r="K211" s="5">
        <f>INDEX(products!$A$1:$G$49, MATCH(orders!$D211, products!$A$1:$A$49, 0), MATCH(orders!K$1, products!$A$1:$G$1, 0))</f>
        <v>0.5</v>
      </c>
      <c r="L211" s="6">
        <f>INDEX(products!$A$1:$G$49, MATCH(orders!$D211, products!$A$1:$A$49, 0), MATCH(orders!L$1, products!$A$1:$G$1, 0))</f>
        <v>6.75</v>
      </c>
      <c r="M211" s="6">
        <f t="shared" si="10"/>
        <v>6.75</v>
      </c>
      <c r="N211" t="str">
        <f t="shared" si="11"/>
        <v>Arabica</v>
      </c>
      <c r="O211" t="str">
        <f t="shared" si="9"/>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_xlfn.XLOOKUP(C212,customers!$A$2:$A$1001,customers!$B$2:$B$1001,,0)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 MATCH(orders!$D212, products!$A$1:$A$49, 0), MATCH(orders!I$1, products!$A$1:$G$1, 0))</f>
        <v>Lib</v>
      </c>
      <c r="J212" t="str">
        <f>INDEX(products!$A$1:$G$49, MATCH(orders!$D212, products!$A$1:$A$49, 0), MATCH(orders!J$1, products!$A$1:$G$1, 0))</f>
        <v>D</v>
      </c>
      <c r="K212" s="5">
        <f>INDEX(products!$A$1:$G$49, MATCH(orders!$D212, products!$A$1:$A$49, 0), MATCH(orders!K$1, products!$A$1:$G$1, 0))</f>
        <v>1</v>
      </c>
      <c r="L212" s="6">
        <f>INDEX(products!$A$1:$G$49, MATCH(orders!$D212, products!$A$1:$A$49, 0), MATCH(orders!L$1, products!$A$1:$G$1, 0))</f>
        <v>12.95</v>
      </c>
      <c r="M212" s="6">
        <f t="shared" si="10"/>
        <v>51.8</v>
      </c>
      <c r="N212" t="str">
        <f t="shared" si="11"/>
        <v>Liberica</v>
      </c>
      <c r="O212" t="str">
        <f t="shared" si="9"/>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_xlfn.XLOOKUP(C213,customers!$A$2:$A$1001,customers!$B$2:$B$1001,,0)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 MATCH(orders!$D213, products!$A$1:$A$49, 0), MATCH(orders!I$1, products!$A$1:$G$1, 0))</f>
        <v>Exc</v>
      </c>
      <c r="J213" t="str">
        <f>INDEX(products!$A$1:$G$49, MATCH(orders!$D213, products!$A$1:$A$49, 0), MATCH(orders!J$1, products!$A$1:$G$1, 0))</f>
        <v>L</v>
      </c>
      <c r="K213" s="5">
        <f>INDEX(products!$A$1:$G$49, MATCH(orders!$D213, products!$A$1:$A$49, 0), MATCH(orders!K$1, products!$A$1:$G$1, 0))</f>
        <v>0.5</v>
      </c>
      <c r="L213" s="6">
        <f>INDEX(products!$A$1:$G$49, MATCH(orders!$D213, products!$A$1:$A$49, 0), MATCH(orders!L$1, products!$A$1:$G$1, 0))</f>
        <v>8.91</v>
      </c>
      <c r="M213" s="6">
        <f t="shared" si="10"/>
        <v>53.46</v>
      </c>
      <c r="N213" t="str">
        <f t="shared" si="11"/>
        <v>Excelsa</v>
      </c>
      <c r="O213" t="str">
        <f t="shared" si="9"/>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_xlfn.XLOOKUP(C214,customers!$A$2:$A$1001,customers!$B$2:$B$1001,,0)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 MATCH(orders!$D214, products!$A$1:$A$49, 0), MATCH(orders!I$1, products!$A$1:$G$1, 0))</f>
        <v>Exc</v>
      </c>
      <c r="J214" t="str">
        <f>INDEX(products!$A$1:$G$49, MATCH(orders!$D214, products!$A$1:$A$49, 0), MATCH(orders!J$1, products!$A$1:$G$1, 0))</f>
        <v>D</v>
      </c>
      <c r="K214" s="5">
        <f>INDEX(products!$A$1:$G$49, MATCH(orders!$D214, products!$A$1:$A$49, 0), MATCH(orders!K$1, products!$A$1:$G$1, 0))</f>
        <v>0.2</v>
      </c>
      <c r="L214" s="6">
        <f>INDEX(products!$A$1:$G$49, MATCH(orders!$D214, products!$A$1:$A$49, 0), MATCH(orders!L$1, products!$A$1:$G$1, 0))</f>
        <v>3.645</v>
      </c>
      <c r="M214" s="6">
        <f t="shared" si="10"/>
        <v>14.58</v>
      </c>
      <c r="N214" t="str">
        <f t="shared" si="11"/>
        <v>Excelsa</v>
      </c>
      <c r="O214" t="str">
        <f t="shared" si="9"/>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_xlfn.XLOOKUP(C215,customers!$A$2:$A$1001,customers!$B$2:$B$1001,,0)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 MATCH(orders!$D215, products!$A$1:$A$49, 0), MATCH(orders!I$1, products!$A$1:$G$1, 0))</f>
        <v>Rob</v>
      </c>
      <c r="J215" t="str">
        <f>INDEX(products!$A$1:$G$49, MATCH(orders!$D215, products!$A$1:$A$49, 0), MATCH(orders!J$1, products!$A$1:$G$1, 0))</f>
        <v>D</v>
      </c>
      <c r="K215" s="5">
        <f>INDEX(products!$A$1:$G$49, MATCH(orders!$D215, products!$A$1:$A$49, 0), MATCH(orders!K$1, products!$A$1:$G$1, 0))</f>
        <v>2.5</v>
      </c>
      <c r="L215" s="6">
        <f>INDEX(products!$A$1:$G$49, MATCH(orders!$D215, products!$A$1:$A$49, 0), MATCH(orders!L$1, products!$A$1:$G$1, 0))</f>
        <v>20.584999999999997</v>
      </c>
      <c r="M215" s="6">
        <f t="shared" si="10"/>
        <v>20.584999999999997</v>
      </c>
      <c r="N215" t="str">
        <f t="shared" si="11"/>
        <v>Robusta</v>
      </c>
      <c r="O215" t="str">
        <f t="shared" si="9"/>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_xlfn.XLOOKUP(C216,customers!$A$2:$A$1001,customers!$B$2:$B$1001,,0)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 MATCH(orders!$D216, products!$A$1:$A$49, 0), MATCH(orders!I$1, products!$A$1:$G$1, 0))</f>
        <v>Lib</v>
      </c>
      <c r="J216" t="str">
        <f>INDEX(products!$A$1:$G$49, MATCH(orders!$D216, products!$A$1:$A$49, 0), MATCH(orders!J$1, products!$A$1:$G$1, 0))</f>
        <v>L</v>
      </c>
      <c r="K216" s="5">
        <f>INDEX(products!$A$1:$G$49, MATCH(orders!$D216, products!$A$1:$A$49, 0), MATCH(orders!K$1, products!$A$1:$G$1, 0))</f>
        <v>1</v>
      </c>
      <c r="L216" s="6">
        <f>INDEX(products!$A$1:$G$49, MATCH(orders!$D216, products!$A$1:$A$49, 0), MATCH(orders!L$1, products!$A$1:$G$1, 0))</f>
        <v>15.85</v>
      </c>
      <c r="M216" s="6">
        <f t="shared" si="10"/>
        <v>31.7</v>
      </c>
      <c r="N216" t="str">
        <f t="shared" si="11"/>
        <v>Liberica</v>
      </c>
      <c r="O216" t="str">
        <f t="shared" si="9"/>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_xlfn.XLOOKUP(C217,customers!$A$2:$A$1001,customers!$B$2:$B$1001,,0)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 MATCH(orders!$D217, products!$A$1:$A$49, 0), MATCH(orders!I$1, products!$A$1:$G$1, 0))</f>
        <v>Lib</v>
      </c>
      <c r="J217" t="str">
        <f>INDEX(products!$A$1:$G$49, MATCH(orders!$D217, products!$A$1:$A$49, 0), MATCH(orders!J$1, products!$A$1:$G$1, 0))</f>
        <v>D</v>
      </c>
      <c r="K217" s="5">
        <f>INDEX(products!$A$1:$G$49, MATCH(orders!$D217, products!$A$1:$A$49, 0), MATCH(orders!K$1, products!$A$1:$G$1, 0))</f>
        <v>0.2</v>
      </c>
      <c r="L217" s="6">
        <f>INDEX(products!$A$1:$G$49, MATCH(orders!$D217, products!$A$1:$A$49, 0), MATCH(orders!L$1, products!$A$1:$G$1, 0))</f>
        <v>3.8849999999999998</v>
      </c>
      <c r="M217" s="6">
        <f t="shared" si="10"/>
        <v>23.31</v>
      </c>
      <c r="N217" t="str">
        <f t="shared" si="11"/>
        <v>Liberica</v>
      </c>
      <c r="O217" t="str">
        <f t="shared" si="9"/>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_xlfn.XLOOKUP(C218,customers!$A$2:$A$1001,customers!$B$2:$B$1001,,0)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 MATCH(orders!$D218, products!$A$1:$A$49, 0), MATCH(orders!I$1, products!$A$1:$G$1, 0))</f>
        <v>Lib</v>
      </c>
      <c r="J218" t="str">
        <f>INDEX(products!$A$1:$G$49, MATCH(orders!$D218, products!$A$1:$A$49, 0), MATCH(orders!J$1, products!$A$1:$G$1, 0))</f>
        <v>M</v>
      </c>
      <c r="K218" s="5">
        <f>INDEX(products!$A$1:$G$49, MATCH(orders!$D218, products!$A$1:$A$49, 0), MATCH(orders!K$1, products!$A$1:$G$1, 0))</f>
        <v>1</v>
      </c>
      <c r="L218" s="6">
        <f>INDEX(products!$A$1:$G$49, MATCH(orders!$D218, products!$A$1:$A$49, 0), MATCH(orders!L$1, products!$A$1:$G$1, 0))</f>
        <v>14.55</v>
      </c>
      <c r="M218" s="6">
        <f t="shared" si="10"/>
        <v>58.2</v>
      </c>
      <c r="N218" t="str">
        <f t="shared" si="11"/>
        <v>Liberica</v>
      </c>
      <c r="O218" t="str">
        <f t="shared" si="9"/>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_xlfn.XLOOKUP(C219,customers!$A$2:$A$1001,customers!$B$2:$B$1001,,0)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 MATCH(orders!$D219, products!$A$1:$A$49, 0), MATCH(orders!I$1, products!$A$1:$G$1, 0))</f>
        <v>Exc</v>
      </c>
      <c r="J219" t="str">
        <f>INDEX(products!$A$1:$G$49, MATCH(orders!$D219, products!$A$1:$A$49, 0), MATCH(orders!J$1, products!$A$1:$G$1, 0))</f>
        <v>L</v>
      </c>
      <c r="K219" s="5">
        <f>INDEX(products!$A$1:$G$49, MATCH(orders!$D219, products!$A$1:$A$49, 0), MATCH(orders!K$1, products!$A$1:$G$1, 0))</f>
        <v>0.5</v>
      </c>
      <c r="L219" s="6">
        <f>INDEX(products!$A$1:$G$49, MATCH(orders!$D219, products!$A$1:$A$49, 0), MATCH(orders!L$1, products!$A$1:$G$1, 0))</f>
        <v>8.91</v>
      </c>
      <c r="M219" s="6">
        <f t="shared" si="10"/>
        <v>35.64</v>
      </c>
      <c r="N219" t="str">
        <f t="shared" si="11"/>
        <v>Excelsa</v>
      </c>
      <c r="O219" t="str">
        <f t="shared" si="9"/>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_xlfn.XLOOKUP(C220,customers!$A$2:$A$1001,customers!$B$2:$B$1001,,0)</f>
        <v>Rem Furman</v>
      </c>
      <c r="G220" s="2" t="str">
        <f>IF(_xlfn.XLOOKUP(C220,customers!$A$1:$A$1001,customers!$C$1:$C$1001,,0)=0,"",_xlfn.XLOOKUP(C220,customers!$A$1:$A$1001,customers!$C$1:$C$1001,,0))</f>
        <v>rfurman62@t.co</v>
      </c>
      <c r="H220" s="2" t="str">
        <f>_xlfn.XLOOKUP(C220,customers!$A$1:$A$1001,customers!$G$1:$G$1001,,0)</f>
        <v>Ireland</v>
      </c>
      <c r="I220" t="str">
        <f>INDEX(products!$A$1:$G$49, MATCH(orders!$D220, products!$A$1:$A$49, 0), MATCH(orders!I$1, products!$A$1:$G$1, 0))</f>
        <v>Ara</v>
      </c>
      <c r="J220" t="str">
        <f>INDEX(products!$A$1:$G$49, MATCH(orders!$D220, products!$A$1:$A$49, 0), MATCH(orders!J$1, products!$A$1:$G$1, 0))</f>
        <v>M</v>
      </c>
      <c r="K220" s="5">
        <f>INDEX(products!$A$1:$G$49, MATCH(orders!$D220, products!$A$1:$A$49, 0), MATCH(orders!K$1, products!$A$1:$G$1, 0))</f>
        <v>1</v>
      </c>
      <c r="L220" s="6">
        <f>INDEX(products!$A$1:$G$49, MATCH(orders!$D220, products!$A$1:$A$49, 0), MATCH(orders!L$1, products!$A$1:$G$1, 0))</f>
        <v>11.25</v>
      </c>
      <c r="M220" s="6">
        <f t="shared" si="10"/>
        <v>56.25</v>
      </c>
      <c r="N220" t="str">
        <f t="shared" si="11"/>
        <v>Arabica</v>
      </c>
      <c r="O220" t="str">
        <f t="shared" si="9"/>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_xlfn.XLOOKUP(C221,customers!$A$2:$A$1001,customers!$B$2:$B$1001,,0)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 MATCH(orders!$D221, products!$A$1:$A$49, 0), MATCH(orders!I$1, products!$A$1:$G$1, 0))</f>
        <v>Rob</v>
      </c>
      <c r="J221" t="str">
        <f>INDEX(products!$A$1:$G$49, MATCH(orders!$D221, products!$A$1:$A$49, 0), MATCH(orders!J$1, products!$A$1:$G$1, 0))</f>
        <v>L</v>
      </c>
      <c r="K221" s="5">
        <f>INDEX(products!$A$1:$G$49, MATCH(orders!$D221, products!$A$1:$A$49, 0), MATCH(orders!K$1, products!$A$1:$G$1, 0))</f>
        <v>0.2</v>
      </c>
      <c r="L221" s="6">
        <f>INDEX(products!$A$1:$G$49, MATCH(orders!$D221, products!$A$1:$A$49, 0), MATCH(orders!L$1, products!$A$1:$G$1, 0))</f>
        <v>3.5849999999999995</v>
      </c>
      <c r="M221" s="6">
        <f t="shared" si="10"/>
        <v>10.754999999999999</v>
      </c>
      <c r="N221" t="str">
        <f t="shared" si="11"/>
        <v>Robusta</v>
      </c>
      <c r="O221" t="str">
        <f t="shared" si="9"/>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_xlfn.XLOOKUP(C222,customers!$A$2:$A$1001,customers!$B$2:$B$1001,,0)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 MATCH(orders!$D222, products!$A$1:$A$49, 0), MATCH(orders!I$1, products!$A$1:$G$1, 0))</f>
        <v>Rob</v>
      </c>
      <c r="J222" t="str">
        <f>INDEX(products!$A$1:$G$49, MATCH(orders!$D222, products!$A$1:$A$49, 0), MATCH(orders!J$1, products!$A$1:$G$1, 0))</f>
        <v>M</v>
      </c>
      <c r="K222" s="5">
        <f>INDEX(products!$A$1:$G$49, MATCH(orders!$D222, products!$A$1:$A$49, 0), MATCH(orders!K$1, products!$A$1:$G$1, 0))</f>
        <v>0.2</v>
      </c>
      <c r="L222" s="6">
        <f>INDEX(products!$A$1:$G$49, MATCH(orders!$D222, products!$A$1:$A$49, 0), MATCH(orders!L$1, products!$A$1:$G$1, 0))</f>
        <v>2.9849999999999999</v>
      </c>
      <c r="M222" s="6">
        <f t="shared" si="10"/>
        <v>14.924999999999999</v>
      </c>
      <c r="N222" t="str">
        <f t="shared" si="11"/>
        <v>Robusta</v>
      </c>
      <c r="O222" t="str">
        <f t="shared" si="9"/>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_xlfn.XLOOKUP(C223,customers!$A$2:$A$1001,customers!$B$2:$B$1001,,0)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 MATCH(orders!$D223, products!$A$1:$A$49, 0), MATCH(orders!I$1, products!$A$1:$G$1, 0))</f>
        <v>Ara</v>
      </c>
      <c r="J223" t="str">
        <f>INDEX(products!$A$1:$G$49, MATCH(orders!$D223, products!$A$1:$A$49, 0), MATCH(orders!J$1, products!$A$1:$G$1, 0))</f>
        <v>L</v>
      </c>
      <c r="K223" s="5">
        <f>INDEX(products!$A$1:$G$49, MATCH(orders!$D223, products!$A$1:$A$49, 0), MATCH(orders!K$1, products!$A$1:$G$1, 0))</f>
        <v>1</v>
      </c>
      <c r="L223" s="6">
        <f>INDEX(products!$A$1:$G$49, MATCH(orders!$D223, products!$A$1:$A$49, 0), MATCH(orders!L$1, products!$A$1:$G$1, 0))</f>
        <v>12.95</v>
      </c>
      <c r="M223" s="6">
        <f t="shared" si="10"/>
        <v>77.699999999999989</v>
      </c>
      <c r="N223" t="str">
        <f t="shared" si="11"/>
        <v>Arabica</v>
      </c>
      <c r="O223" t="str">
        <f t="shared" si="9"/>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_xlfn.XLOOKUP(C224,customers!$A$2:$A$1001,customers!$B$2:$B$1001,,0)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 MATCH(orders!$D224, products!$A$1:$A$49, 0), MATCH(orders!I$1, products!$A$1:$G$1, 0))</f>
        <v>Lib</v>
      </c>
      <c r="J224" t="str">
        <f>INDEX(products!$A$1:$G$49, MATCH(orders!$D224, products!$A$1:$A$49, 0), MATCH(orders!J$1, products!$A$1:$G$1, 0))</f>
        <v>D</v>
      </c>
      <c r="K224" s="5">
        <f>INDEX(products!$A$1:$G$49, MATCH(orders!$D224, products!$A$1:$A$49, 0), MATCH(orders!K$1, products!$A$1:$G$1, 0))</f>
        <v>0.5</v>
      </c>
      <c r="L224" s="6">
        <f>INDEX(products!$A$1:$G$49, MATCH(orders!$D224, products!$A$1:$A$49, 0), MATCH(orders!L$1, products!$A$1:$G$1, 0))</f>
        <v>7.77</v>
      </c>
      <c r="M224" s="6">
        <f t="shared" si="10"/>
        <v>23.31</v>
      </c>
      <c r="N224" t="str">
        <f t="shared" si="11"/>
        <v>Liberica</v>
      </c>
      <c r="O224" t="str">
        <f t="shared" si="9"/>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_xlfn.XLOOKUP(C225,customers!$A$2:$A$1001,customers!$B$2:$B$1001,,0)</f>
        <v>Bobbe Piggott</v>
      </c>
      <c r="G225" s="2" t="str">
        <f>IF(_xlfn.XLOOKUP(C225,customers!$A$1:$A$1001,customers!$C$1:$C$1001,,0)=0,"",_xlfn.XLOOKUP(C225,customers!$A$1:$A$1001,customers!$C$1:$C$1001,,0))</f>
        <v/>
      </c>
      <c r="H225" s="2" t="str">
        <f>_xlfn.XLOOKUP(C225,customers!$A$1:$A$1001,customers!$G$1:$G$1001,,0)</f>
        <v>United States</v>
      </c>
      <c r="I225" t="str">
        <f>INDEX(products!$A$1:$G$49, MATCH(orders!$D225, products!$A$1:$A$49, 0), MATCH(orders!I$1, products!$A$1:$G$1, 0))</f>
        <v>Exc</v>
      </c>
      <c r="J225" t="str">
        <f>INDEX(products!$A$1:$G$49, MATCH(orders!$D225, products!$A$1:$A$49, 0), MATCH(orders!J$1, products!$A$1:$G$1, 0))</f>
        <v>L</v>
      </c>
      <c r="K225" s="5">
        <f>INDEX(products!$A$1:$G$49, MATCH(orders!$D225, products!$A$1:$A$49, 0), MATCH(orders!K$1, products!$A$1:$G$1, 0))</f>
        <v>1</v>
      </c>
      <c r="L225" s="6">
        <f>INDEX(products!$A$1:$G$49, MATCH(orders!$D225, products!$A$1:$A$49, 0), MATCH(orders!L$1, products!$A$1:$G$1, 0))</f>
        <v>14.85</v>
      </c>
      <c r="M225" s="6">
        <f t="shared" si="10"/>
        <v>59.4</v>
      </c>
      <c r="N225" t="str">
        <f t="shared" si="11"/>
        <v>Excelsa</v>
      </c>
      <c r="O225" t="str">
        <f t="shared" si="9"/>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_xlfn.XLOOKUP(C226,customers!$A$2:$A$1001,customers!$B$2:$B$1001,,0)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 MATCH(orders!$D226, products!$A$1:$A$49, 0), MATCH(orders!I$1, products!$A$1:$G$1, 0))</f>
        <v>Lib</v>
      </c>
      <c r="J226" t="str">
        <f>INDEX(products!$A$1:$G$49, MATCH(orders!$D226, products!$A$1:$A$49, 0), MATCH(orders!J$1, products!$A$1:$G$1, 0))</f>
        <v>D</v>
      </c>
      <c r="K226" s="5">
        <f>INDEX(products!$A$1:$G$49, MATCH(orders!$D226, products!$A$1:$A$49, 0), MATCH(orders!K$1, products!$A$1:$G$1, 0))</f>
        <v>2.5</v>
      </c>
      <c r="L226" s="6">
        <f>INDEX(products!$A$1:$G$49, MATCH(orders!$D226, products!$A$1:$A$49, 0), MATCH(orders!L$1, products!$A$1:$G$1, 0))</f>
        <v>29.784999999999997</v>
      </c>
      <c r="M226" s="6">
        <f t="shared" si="10"/>
        <v>119.13999999999999</v>
      </c>
      <c r="N226" t="str">
        <f t="shared" si="11"/>
        <v>Liberica</v>
      </c>
      <c r="O226" t="str">
        <f t="shared" si="9"/>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_xlfn.XLOOKUP(C227,customers!$A$2:$A$1001,customers!$B$2:$B$1001,,0)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 MATCH(orders!$D227, products!$A$1:$A$49, 0), MATCH(orders!I$1, products!$A$1:$G$1, 0))</f>
        <v>Rob</v>
      </c>
      <c r="J227" t="str">
        <f>INDEX(products!$A$1:$G$49, MATCH(orders!$D227, products!$A$1:$A$49, 0), MATCH(orders!J$1, products!$A$1:$G$1, 0))</f>
        <v>L</v>
      </c>
      <c r="K227" s="5">
        <f>INDEX(products!$A$1:$G$49, MATCH(orders!$D227, products!$A$1:$A$49, 0), MATCH(orders!K$1, products!$A$1:$G$1, 0))</f>
        <v>0.2</v>
      </c>
      <c r="L227" s="6">
        <f>INDEX(products!$A$1:$G$49, MATCH(orders!$D227, products!$A$1:$A$49, 0), MATCH(orders!L$1, products!$A$1:$G$1, 0))</f>
        <v>3.5849999999999995</v>
      </c>
      <c r="M227" s="6">
        <f t="shared" si="10"/>
        <v>14.339999999999998</v>
      </c>
      <c r="N227" t="str">
        <f t="shared" si="11"/>
        <v>Robusta</v>
      </c>
      <c r="O227" t="str">
        <f t="shared" si="9"/>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_xlfn.XLOOKUP(C228,customers!$A$2:$A$1001,customers!$B$2:$B$1001,,0)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 MATCH(orders!$D228, products!$A$1:$A$49, 0), MATCH(orders!I$1, products!$A$1:$G$1, 0))</f>
        <v>Ara</v>
      </c>
      <c r="J228" t="str">
        <f>INDEX(products!$A$1:$G$49, MATCH(orders!$D228, products!$A$1:$A$49, 0), MATCH(orders!J$1, products!$A$1:$G$1, 0))</f>
        <v>M</v>
      </c>
      <c r="K228" s="5">
        <f>INDEX(products!$A$1:$G$49, MATCH(orders!$D228, products!$A$1:$A$49, 0), MATCH(orders!K$1, products!$A$1:$G$1, 0))</f>
        <v>2.5</v>
      </c>
      <c r="L228" s="6">
        <f>INDEX(products!$A$1:$G$49, MATCH(orders!$D228, products!$A$1:$A$49, 0), MATCH(orders!L$1, products!$A$1:$G$1, 0))</f>
        <v>25.874999999999996</v>
      </c>
      <c r="M228" s="6">
        <f t="shared" si="10"/>
        <v>129.37499999999997</v>
      </c>
      <c r="N228" t="str">
        <f t="shared" si="11"/>
        <v>Arabica</v>
      </c>
      <c r="O228" t="str">
        <f t="shared" si="9"/>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_xlfn.XLOOKUP(C229,customers!$A$2:$A$1001,customers!$B$2:$B$1001,,0)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 MATCH(orders!$D229, products!$A$1:$A$49, 0), MATCH(orders!I$1, products!$A$1:$G$1, 0))</f>
        <v>Rob</v>
      </c>
      <c r="J229" t="str">
        <f>INDEX(products!$A$1:$G$49, MATCH(orders!$D229, products!$A$1:$A$49, 0), MATCH(orders!J$1, products!$A$1:$G$1, 0))</f>
        <v>D</v>
      </c>
      <c r="K229" s="5">
        <f>INDEX(products!$A$1:$G$49, MATCH(orders!$D229, products!$A$1:$A$49, 0), MATCH(orders!K$1, products!$A$1:$G$1, 0))</f>
        <v>0.2</v>
      </c>
      <c r="L229" s="6">
        <f>INDEX(products!$A$1:$G$49, MATCH(orders!$D229, products!$A$1:$A$49, 0), MATCH(orders!L$1, products!$A$1:$G$1, 0))</f>
        <v>2.6849999999999996</v>
      </c>
      <c r="M229" s="6">
        <f t="shared" si="10"/>
        <v>16.11</v>
      </c>
      <c r="N229" t="str">
        <f t="shared" si="11"/>
        <v>Robusta</v>
      </c>
      <c r="O229" t="str">
        <f t="shared" si="9"/>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_xlfn.XLOOKUP(C230,customers!$A$2:$A$1001,customers!$B$2:$B$1001,,0)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 MATCH(orders!$D230, products!$A$1:$A$49, 0), MATCH(orders!I$1, products!$A$1:$G$1, 0))</f>
        <v>Rob</v>
      </c>
      <c r="J230" t="str">
        <f>INDEX(products!$A$1:$G$49, MATCH(orders!$D230, products!$A$1:$A$49, 0), MATCH(orders!J$1, products!$A$1:$G$1, 0))</f>
        <v>L</v>
      </c>
      <c r="K230" s="5">
        <f>INDEX(products!$A$1:$G$49, MATCH(orders!$D230, products!$A$1:$A$49, 0), MATCH(orders!K$1, products!$A$1:$G$1, 0))</f>
        <v>0.2</v>
      </c>
      <c r="L230" s="6">
        <f>INDEX(products!$A$1:$G$49, MATCH(orders!$D230, products!$A$1:$A$49, 0), MATCH(orders!L$1, products!$A$1:$G$1, 0))</f>
        <v>3.5849999999999995</v>
      </c>
      <c r="M230" s="6">
        <f t="shared" si="10"/>
        <v>17.924999999999997</v>
      </c>
      <c r="N230" t="str">
        <f t="shared" si="11"/>
        <v>Robusta</v>
      </c>
      <c r="O230" t="str">
        <f t="shared" si="9"/>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_xlfn.XLOOKUP(C231,customers!$A$2:$A$1001,customers!$B$2:$B$1001,,0)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 MATCH(orders!$D231, products!$A$1:$A$49, 0), MATCH(orders!I$1, products!$A$1:$G$1, 0))</f>
        <v>Lib</v>
      </c>
      <c r="J231" t="str">
        <f>INDEX(products!$A$1:$G$49, MATCH(orders!$D231, products!$A$1:$A$49, 0), MATCH(orders!J$1, products!$A$1:$G$1, 0))</f>
        <v>M</v>
      </c>
      <c r="K231" s="5">
        <f>INDEX(products!$A$1:$G$49, MATCH(orders!$D231, products!$A$1:$A$49, 0), MATCH(orders!K$1, products!$A$1:$G$1, 0))</f>
        <v>0.2</v>
      </c>
      <c r="L231" s="6">
        <f>INDEX(products!$A$1:$G$49, MATCH(orders!$D231, products!$A$1:$A$49, 0), MATCH(orders!L$1, products!$A$1:$G$1, 0))</f>
        <v>4.3650000000000002</v>
      </c>
      <c r="M231" s="6">
        <f t="shared" si="10"/>
        <v>8.73</v>
      </c>
      <c r="N231" t="str">
        <f t="shared" si="11"/>
        <v>Liberica</v>
      </c>
      <c r="O231" t="str">
        <f t="shared" si="9"/>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_xlfn.XLOOKUP(C232,customers!$A$2:$A$1001,customers!$B$2:$B$1001,,0)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 MATCH(orders!$D232, products!$A$1:$A$49, 0), MATCH(orders!I$1, products!$A$1:$G$1, 0))</f>
        <v>Ara</v>
      </c>
      <c r="J232" t="str">
        <f>INDEX(products!$A$1:$G$49, MATCH(orders!$D232, products!$A$1:$A$49, 0), MATCH(orders!J$1, products!$A$1:$G$1, 0))</f>
        <v>M</v>
      </c>
      <c r="K232" s="5">
        <f>INDEX(products!$A$1:$G$49, MATCH(orders!$D232, products!$A$1:$A$49, 0), MATCH(orders!K$1, products!$A$1:$G$1, 0))</f>
        <v>2.5</v>
      </c>
      <c r="L232" s="6">
        <f>INDEX(products!$A$1:$G$49, MATCH(orders!$D232, products!$A$1:$A$49, 0), MATCH(orders!L$1, products!$A$1:$G$1, 0))</f>
        <v>25.874999999999996</v>
      </c>
      <c r="M232" s="6">
        <f t="shared" si="10"/>
        <v>51.749999999999993</v>
      </c>
      <c r="N232" t="str">
        <f t="shared" si="11"/>
        <v>Arabica</v>
      </c>
      <c r="O232" t="str">
        <f t="shared" si="9"/>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_xlfn.XLOOKUP(C233,customers!$A$2:$A$1001,customers!$B$2:$B$1001,,0)</f>
        <v>Sinclare Edsell</v>
      </c>
      <c r="G233" s="2" t="str">
        <f>IF(_xlfn.XLOOKUP(C233,customers!$A$1:$A$1001,customers!$C$1:$C$1001,,0)=0,"",_xlfn.XLOOKUP(C233,customers!$A$1:$A$1001,customers!$C$1:$C$1001,,0))</f>
        <v/>
      </c>
      <c r="H233" s="2" t="str">
        <f>_xlfn.XLOOKUP(C233,customers!$A$1:$A$1001,customers!$G$1:$G$1001,,0)</f>
        <v>United States</v>
      </c>
      <c r="I233" t="str">
        <f>INDEX(products!$A$1:$G$49, MATCH(orders!$D233, products!$A$1:$A$49, 0), MATCH(orders!I$1, products!$A$1:$G$1, 0))</f>
        <v>Lib</v>
      </c>
      <c r="J233" t="str">
        <f>INDEX(products!$A$1:$G$49, MATCH(orders!$D233, products!$A$1:$A$49, 0), MATCH(orders!J$1, products!$A$1:$G$1, 0))</f>
        <v>M</v>
      </c>
      <c r="K233" s="5">
        <f>INDEX(products!$A$1:$G$49, MATCH(orders!$D233, products!$A$1:$A$49, 0), MATCH(orders!K$1, products!$A$1:$G$1, 0))</f>
        <v>0.2</v>
      </c>
      <c r="L233" s="6">
        <f>INDEX(products!$A$1:$G$49, MATCH(orders!$D233, products!$A$1:$A$49, 0), MATCH(orders!L$1, products!$A$1:$G$1, 0))</f>
        <v>4.3650000000000002</v>
      </c>
      <c r="M233" s="6">
        <f t="shared" si="10"/>
        <v>8.73</v>
      </c>
      <c r="N233" t="str">
        <f t="shared" si="11"/>
        <v>Liberica</v>
      </c>
      <c r="O233" t="str">
        <f t="shared" si="9"/>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_xlfn.XLOOKUP(C234,customers!$A$2:$A$1001,customers!$B$2:$B$1001,,0)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 MATCH(orders!$D234, products!$A$1:$A$49, 0), MATCH(orders!I$1, products!$A$1:$G$1, 0))</f>
        <v>Lib</v>
      </c>
      <c r="J234" t="str">
        <f>INDEX(products!$A$1:$G$49, MATCH(orders!$D234, products!$A$1:$A$49, 0), MATCH(orders!J$1, products!$A$1:$G$1, 0))</f>
        <v>L</v>
      </c>
      <c r="K234" s="5">
        <f>INDEX(products!$A$1:$G$49, MATCH(orders!$D234, products!$A$1:$A$49, 0), MATCH(orders!K$1, products!$A$1:$G$1, 0))</f>
        <v>0.2</v>
      </c>
      <c r="L234" s="6">
        <f>INDEX(products!$A$1:$G$49, MATCH(orders!$D234, products!$A$1:$A$49, 0), MATCH(orders!L$1, products!$A$1:$G$1, 0))</f>
        <v>4.7549999999999999</v>
      </c>
      <c r="M234" s="6">
        <f t="shared" si="10"/>
        <v>23.774999999999999</v>
      </c>
      <c r="N234" t="str">
        <f t="shared" si="11"/>
        <v>Liberica</v>
      </c>
      <c r="O234" t="str">
        <f t="shared" si="9"/>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_xlfn.XLOOKUP(C235,customers!$A$2:$A$1001,customers!$B$2:$B$1001,,0)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 MATCH(orders!$D235, products!$A$1:$A$49, 0), MATCH(orders!I$1, products!$A$1:$G$1, 0))</f>
        <v>Exc</v>
      </c>
      <c r="J235" t="str">
        <f>INDEX(products!$A$1:$G$49, MATCH(orders!$D235, products!$A$1:$A$49, 0), MATCH(orders!J$1, products!$A$1:$G$1, 0))</f>
        <v>M</v>
      </c>
      <c r="K235" s="5">
        <f>INDEX(products!$A$1:$G$49, MATCH(orders!$D235, products!$A$1:$A$49, 0), MATCH(orders!K$1, products!$A$1:$G$1, 0))</f>
        <v>0.2</v>
      </c>
      <c r="L235" s="6">
        <f>INDEX(products!$A$1:$G$49, MATCH(orders!$D235, products!$A$1:$A$49, 0), MATCH(orders!L$1, products!$A$1:$G$1, 0))</f>
        <v>4.125</v>
      </c>
      <c r="M235" s="6">
        <f t="shared" si="10"/>
        <v>20.625</v>
      </c>
      <c r="N235" t="str">
        <f t="shared" si="11"/>
        <v>Excelsa</v>
      </c>
      <c r="O235" t="str">
        <f t="shared" si="9"/>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_xlfn.XLOOKUP(C236,customers!$A$2:$A$1001,customers!$B$2:$B$1001,,0)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 MATCH(orders!$D236, products!$A$1:$A$49, 0), MATCH(orders!I$1, products!$A$1:$G$1, 0))</f>
        <v>Lib</v>
      </c>
      <c r="J236" t="str">
        <f>INDEX(products!$A$1:$G$49, MATCH(orders!$D236, products!$A$1:$A$49, 0), MATCH(orders!J$1, products!$A$1:$G$1, 0))</f>
        <v>L</v>
      </c>
      <c r="K236" s="5">
        <f>INDEX(products!$A$1:$G$49, MATCH(orders!$D236, products!$A$1:$A$49, 0), MATCH(orders!K$1, products!$A$1:$G$1, 0))</f>
        <v>2.5</v>
      </c>
      <c r="L236" s="6">
        <f>INDEX(products!$A$1:$G$49, MATCH(orders!$D236, products!$A$1:$A$49, 0), MATCH(orders!L$1, products!$A$1:$G$1, 0))</f>
        <v>36.454999999999998</v>
      </c>
      <c r="M236" s="6">
        <f t="shared" si="10"/>
        <v>36.454999999999998</v>
      </c>
      <c r="N236" t="str">
        <f t="shared" si="11"/>
        <v>Liberica</v>
      </c>
      <c r="O236" t="str">
        <f t="shared" si="9"/>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_xlfn.XLOOKUP(C237,customers!$A$2:$A$1001,customers!$B$2:$B$1001,,0)</f>
        <v>Samuele Ales0</v>
      </c>
      <c r="G237" s="2" t="str">
        <f>IF(_xlfn.XLOOKUP(C237,customers!$A$1:$A$1001,customers!$C$1:$C$1001,,0)=0,"",_xlfn.XLOOKUP(C237,customers!$A$1:$A$1001,customers!$C$1:$C$1001,,0))</f>
        <v/>
      </c>
      <c r="H237" s="2" t="str">
        <f>_xlfn.XLOOKUP(C237,customers!$A$1:$A$1001,customers!$G$1:$G$1001,,0)</f>
        <v>Ireland</v>
      </c>
      <c r="I237" t="str">
        <f>INDEX(products!$A$1:$G$49, MATCH(orders!$D237, products!$A$1:$A$49, 0), MATCH(orders!I$1, products!$A$1:$G$1, 0))</f>
        <v>Lib</v>
      </c>
      <c r="J237" t="str">
        <f>INDEX(products!$A$1:$G$49, MATCH(orders!$D237, products!$A$1:$A$49, 0), MATCH(orders!J$1, products!$A$1:$G$1, 0))</f>
        <v>L</v>
      </c>
      <c r="K237" s="5">
        <f>INDEX(products!$A$1:$G$49, MATCH(orders!$D237, products!$A$1:$A$49, 0), MATCH(orders!K$1, products!$A$1:$G$1, 0))</f>
        <v>2.5</v>
      </c>
      <c r="L237" s="6">
        <f>INDEX(products!$A$1:$G$49, MATCH(orders!$D237, products!$A$1:$A$49, 0), MATCH(orders!L$1, products!$A$1:$G$1, 0))</f>
        <v>36.454999999999998</v>
      </c>
      <c r="M237" s="6">
        <f t="shared" si="10"/>
        <v>182.27499999999998</v>
      </c>
      <c r="N237" t="str">
        <f t="shared" si="11"/>
        <v>Liberica</v>
      </c>
      <c r="O237" t="str">
        <f t="shared" si="9"/>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_xlfn.XLOOKUP(C238,customers!$A$2:$A$1001,customers!$B$2:$B$1001,,0)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 MATCH(orders!$D238, products!$A$1:$A$49, 0), MATCH(orders!I$1, products!$A$1:$G$1, 0))</f>
        <v>Lib</v>
      </c>
      <c r="J238" t="str">
        <f>INDEX(products!$A$1:$G$49, MATCH(orders!$D238, products!$A$1:$A$49, 0), MATCH(orders!J$1, products!$A$1:$G$1, 0))</f>
        <v>D</v>
      </c>
      <c r="K238" s="5">
        <f>INDEX(products!$A$1:$G$49, MATCH(orders!$D238, products!$A$1:$A$49, 0), MATCH(orders!K$1, products!$A$1:$G$1, 0))</f>
        <v>2.5</v>
      </c>
      <c r="L238" s="6">
        <f>INDEX(products!$A$1:$G$49, MATCH(orders!$D238, products!$A$1:$A$49, 0), MATCH(orders!L$1, products!$A$1:$G$1, 0))</f>
        <v>29.784999999999997</v>
      </c>
      <c r="M238" s="6">
        <f t="shared" si="10"/>
        <v>89.35499999999999</v>
      </c>
      <c r="N238" t="str">
        <f t="shared" si="11"/>
        <v>Liberica</v>
      </c>
      <c r="O238" t="str">
        <f t="shared" si="9"/>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_xlfn.XLOOKUP(C239,customers!$A$2:$A$1001,customers!$B$2:$B$1001,,0)</f>
        <v>Craggy Bril</v>
      </c>
      <c r="G239" s="2" t="str">
        <f>IF(_xlfn.XLOOKUP(C239,customers!$A$1:$A$1001,customers!$C$1:$C$1001,,0)=0,"",_xlfn.XLOOKUP(C239,customers!$A$1:$A$1001,customers!$C$1:$C$1001,,0))</f>
        <v/>
      </c>
      <c r="H239" s="2" t="str">
        <f>_xlfn.XLOOKUP(C239,customers!$A$1:$A$1001,customers!$G$1:$G$1001,,0)</f>
        <v>United States</v>
      </c>
      <c r="I239" t="str">
        <f>INDEX(products!$A$1:$G$49, MATCH(orders!$D239, products!$A$1:$A$49, 0), MATCH(orders!I$1, products!$A$1:$G$1, 0))</f>
        <v>Rob</v>
      </c>
      <c r="J239" t="str">
        <f>INDEX(products!$A$1:$G$49, MATCH(orders!$D239, products!$A$1:$A$49, 0), MATCH(orders!J$1, products!$A$1:$G$1, 0))</f>
        <v>L</v>
      </c>
      <c r="K239" s="5">
        <f>INDEX(products!$A$1:$G$49, MATCH(orders!$D239, products!$A$1:$A$49, 0), MATCH(orders!K$1, products!$A$1:$G$1, 0))</f>
        <v>0.2</v>
      </c>
      <c r="L239" s="6">
        <f>INDEX(products!$A$1:$G$49, MATCH(orders!$D239, products!$A$1:$A$49, 0), MATCH(orders!L$1, products!$A$1:$G$1, 0))</f>
        <v>3.5849999999999995</v>
      </c>
      <c r="M239" s="6">
        <f t="shared" si="10"/>
        <v>3.5849999999999995</v>
      </c>
      <c r="N239" t="str">
        <f t="shared" si="11"/>
        <v>Robusta</v>
      </c>
      <c r="O239" t="str">
        <f t="shared" si="9"/>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_xlfn.XLOOKUP(C240,customers!$A$2:$A$1001,customers!$B$2:$B$1001,,0)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 MATCH(orders!$D240, products!$A$1:$A$49, 0), MATCH(orders!I$1, products!$A$1:$G$1, 0))</f>
        <v>Rob</v>
      </c>
      <c r="J240" t="str">
        <f>INDEX(products!$A$1:$G$49, MATCH(orders!$D240, products!$A$1:$A$49, 0), MATCH(orders!J$1, products!$A$1:$G$1, 0))</f>
        <v>M</v>
      </c>
      <c r="K240" s="5">
        <f>INDEX(products!$A$1:$G$49, MATCH(orders!$D240, products!$A$1:$A$49, 0), MATCH(orders!K$1, products!$A$1:$G$1, 0))</f>
        <v>2.5</v>
      </c>
      <c r="L240" s="6">
        <f>INDEX(products!$A$1:$G$49, MATCH(orders!$D240, products!$A$1:$A$49, 0), MATCH(orders!L$1, products!$A$1:$G$1, 0))</f>
        <v>22.884999999999998</v>
      </c>
      <c r="M240" s="6">
        <f t="shared" si="10"/>
        <v>45.769999999999996</v>
      </c>
      <c r="N240" t="str">
        <f t="shared" si="11"/>
        <v>Robusta</v>
      </c>
      <c r="O240" t="str">
        <f t="shared" si="9"/>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_xlfn.XLOOKUP(C241,customers!$A$2:$A$1001,customers!$B$2:$B$1001,,0)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 MATCH(orders!$D241, products!$A$1:$A$49, 0), MATCH(orders!I$1, products!$A$1:$G$1, 0))</f>
        <v>Exc</v>
      </c>
      <c r="J241" t="str">
        <f>INDEX(products!$A$1:$G$49, MATCH(orders!$D241, products!$A$1:$A$49, 0), MATCH(orders!J$1, products!$A$1:$G$1, 0))</f>
        <v>L</v>
      </c>
      <c r="K241" s="5">
        <f>INDEX(products!$A$1:$G$49, MATCH(orders!$D241, products!$A$1:$A$49, 0), MATCH(orders!K$1, products!$A$1:$G$1, 0))</f>
        <v>1</v>
      </c>
      <c r="L241" s="6">
        <f>INDEX(products!$A$1:$G$49, MATCH(orders!$D241, products!$A$1:$A$49, 0), MATCH(orders!L$1, products!$A$1:$G$1, 0))</f>
        <v>14.85</v>
      </c>
      <c r="M241" s="6">
        <f t="shared" si="10"/>
        <v>59.4</v>
      </c>
      <c r="N241" t="str">
        <f t="shared" si="11"/>
        <v>Excelsa</v>
      </c>
      <c r="O241" t="str">
        <f t="shared" si="9"/>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_xlfn.XLOOKUP(C242,customers!$A$2:$A$1001,customers!$B$2:$B$1001,,0)</f>
        <v>Codi Littrell</v>
      </c>
      <c r="G242" s="2" t="str">
        <f>IF(_xlfn.XLOOKUP(C242,customers!$A$1:$A$1001,customers!$C$1:$C$1001,,0)=0,"",_xlfn.XLOOKUP(C242,customers!$A$1:$A$1001,customers!$C$1:$C$1001,,0))</f>
        <v/>
      </c>
      <c r="H242" s="2" t="str">
        <f>_xlfn.XLOOKUP(C242,customers!$A$1:$A$1001,customers!$G$1:$G$1001,,0)</f>
        <v>United States</v>
      </c>
      <c r="I242" t="str">
        <f>INDEX(products!$A$1:$G$49, MATCH(orders!$D242, products!$A$1:$A$49, 0), MATCH(orders!I$1, products!$A$1:$G$1, 0))</f>
        <v>Ara</v>
      </c>
      <c r="J242" t="str">
        <f>INDEX(products!$A$1:$G$49, MATCH(orders!$D242, products!$A$1:$A$49, 0), MATCH(orders!J$1, products!$A$1:$G$1, 0))</f>
        <v>M</v>
      </c>
      <c r="K242" s="5">
        <f>INDEX(products!$A$1:$G$49, MATCH(orders!$D242, products!$A$1:$A$49, 0), MATCH(orders!K$1, products!$A$1:$G$1, 0))</f>
        <v>2.5</v>
      </c>
      <c r="L242" s="6">
        <f>INDEX(products!$A$1:$G$49, MATCH(orders!$D242, products!$A$1:$A$49, 0), MATCH(orders!L$1, products!$A$1:$G$1, 0))</f>
        <v>25.874999999999996</v>
      </c>
      <c r="M242" s="6">
        <f t="shared" si="10"/>
        <v>155.24999999999997</v>
      </c>
      <c r="N242" t="str">
        <f t="shared" si="11"/>
        <v>Arabica</v>
      </c>
      <c r="O242" t="str">
        <f t="shared" si="9"/>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_xlfn.XLOOKUP(C243,customers!$A$2:$A$1001,customers!$B$2:$B$1001,,0)</f>
        <v>Christel Speak</v>
      </c>
      <c r="G243" s="2" t="str">
        <f>IF(_xlfn.XLOOKUP(C243,customers!$A$1:$A$1001,customers!$C$1:$C$1001,,0)=0,"",_xlfn.XLOOKUP(C243,customers!$A$1:$A$1001,customers!$C$1:$C$1001,,0))</f>
        <v/>
      </c>
      <c r="H243" s="2" t="str">
        <f>_xlfn.XLOOKUP(C243,customers!$A$1:$A$1001,customers!$G$1:$G$1001,,0)</f>
        <v>United States</v>
      </c>
      <c r="I243" t="str">
        <f>INDEX(products!$A$1:$G$49, MATCH(orders!$D243, products!$A$1:$A$49, 0), MATCH(orders!I$1, products!$A$1:$G$1, 0))</f>
        <v>Rob</v>
      </c>
      <c r="J243" t="str">
        <f>INDEX(products!$A$1:$G$49, MATCH(orders!$D243, products!$A$1:$A$49, 0), MATCH(orders!J$1, products!$A$1:$G$1, 0))</f>
        <v>M</v>
      </c>
      <c r="K243" s="5">
        <f>INDEX(products!$A$1:$G$49, MATCH(orders!$D243, products!$A$1:$A$49, 0), MATCH(orders!K$1, products!$A$1:$G$1, 0))</f>
        <v>2.5</v>
      </c>
      <c r="L243" s="6">
        <f>INDEX(products!$A$1:$G$49, MATCH(orders!$D243, products!$A$1:$A$49, 0), MATCH(orders!L$1, products!$A$1:$G$1, 0))</f>
        <v>22.884999999999998</v>
      </c>
      <c r="M243" s="6">
        <f t="shared" si="10"/>
        <v>45.769999999999996</v>
      </c>
      <c r="N243" t="str">
        <f t="shared" si="11"/>
        <v>Robusta</v>
      </c>
      <c r="O243" t="str">
        <f t="shared" si="9"/>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_xlfn.XLOOKUP(C244,customers!$A$2:$A$1001,customers!$B$2:$B$1001,,0)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 MATCH(orders!$D244, products!$A$1:$A$49, 0), MATCH(orders!I$1, products!$A$1:$G$1, 0))</f>
        <v>Exc</v>
      </c>
      <c r="J244" t="str">
        <f>INDEX(products!$A$1:$G$49, MATCH(orders!$D244, products!$A$1:$A$49, 0), MATCH(orders!J$1, products!$A$1:$G$1, 0))</f>
        <v>D</v>
      </c>
      <c r="K244" s="5">
        <f>INDEX(products!$A$1:$G$49, MATCH(orders!$D244, products!$A$1:$A$49, 0), MATCH(orders!K$1, products!$A$1:$G$1, 0))</f>
        <v>1</v>
      </c>
      <c r="L244" s="6">
        <f>INDEX(products!$A$1:$G$49, MATCH(orders!$D244, products!$A$1:$A$49, 0), MATCH(orders!L$1, products!$A$1:$G$1, 0))</f>
        <v>12.15</v>
      </c>
      <c r="M244" s="6">
        <f t="shared" si="10"/>
        <v>36.450000000000003</v>
      </c>
      <c r="N244" t="str">
        <f t="shared" si="11"/>
        <v>Excelsa</v>
      </c>
      <c r="O244" t="str">
        <f t="shared" si="9"/>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_xlfn.XLOOKUP(C245,customers!$A$2:$A$1001,customers!$B$2:$B$1001,,0)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 MATCH(orders!$D245, products!$A$1:$A$49, 0), MATCH(orders!I$1, products!$A$1:$G$1, 0))</f>
        <v>Exc</v>
      </c>
      <c r="J245" t="str">
        <f>INDEX(products!$A$1:$G$49, MATCH(orders!$D245, products!$A$1:$A$49, 0), MATCH(orders!J$1, products!$A$1:$G$1, 0))</f>
        <v>D</v>
      </c>
      <c r="K245" s="5">
        <f>INDEX(products!$A$1:$G$49, MATCH(orders!$D245, products!$A$1:$A$49, 0), MATCH(orders!K$1, products!$A$1:$G$1, 0))</f>
        <v>0.5</v>
      </c>
      <c r="L245" s="6">
        <f>INDEX(products!$A$1:$G$49, MATCH(orders!$D245, products!$A$1:$A$49, 0), MATCH(orders!L$1, products!$A$1:$G$1, 0))</f>
        <v>7.29</v>
      </c>
      <c r="M245" s="6">
        <f t="shared" si="10"/>
        <v>29.16</v>
      </c>
      <c r="N245" t="str">
        <f t="shared" si="11"/>
        <v>Excelsa</v>
      </c>
      <c r="O245" t="str">
        <f t="shared" si="9"/>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_xlfn.XLOOKUP(C246,customers!$A$2:$A$1001,customers!$B$2:$B$1001,,0)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 MATCH(orders!$D246, products!$A$1:$A$49, 0), MATCH(orders!I$1, products!$A$1:$G$1, 0))</f>
        <v>Lib</v>
      </c>
      <c r="J246" t="str">
        <f>INDEX(products!$A$1:$G$49, MATCH(orders!$D246, products!$A$1:$A$49, 0), MATCH(orders!J$1, products!$A$1:$G$1, 0))</f>
        <v>M</v>
      </c>
      <c r="K246" s="5">
        <f>INDEX(products!$A$1:$G$49, MATCH(orders!$D246, products!$A$1:$A$49, 0), MATCH(orders!K$1, products!$A$1:$G$1, 0))</f>
        <v>2.5</v>
      </c>
      <c r="L246" s="6">
        <f>INDEX(products!$A$1:$G$49, MATCH(orders!$D246, products!$A$1:$A$49, 0), MATCH(orders!L$1, products!$A$1:$G$1, 0))</f>
        <v>33.464999999999996</v>
      </c>
      <c r="M246" s="6">
        <f t="shared" si="10"/>
        <v>133.85999999999999</v>
      </c>
      <c r="N246" t="str">
        <f t="shared" si="11"/>
        <v>Liberica</v>
      </c>
      <c r="O246" t="str">
        <f t="shared" si="9"/>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_xlfn.XLOOKUP(C247,customers!$A$2:$A$1001,customers!$B$2:$B$1001,,0)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 MATCH(orders!$D247, products!$A$1:$A$49, 0), MATCH(orders!I$1, products!$A$1:$G$1, 0))</f>
        <v>Lib</v>
      </c>
      <c r="J247" t="str">
        <f>INDEX(products!$A$1:$G$49, MATCH(orders!$D247, products!$A$1:$A$49, 0), MATCH(orders!J$1, products!$A$1:$G$1, 0))</f>
        <v>L</v>
      </c>
      <c r="K247" s="5">
        <f>INDEX(products!$A$1:$G$49, MATCH(orders!$D247, products!$A$1:$A$49, 0), MATCH(orders!K$1, products!$A$1:$G$1, 0))</f>
        <v>0.2</v>
      </c>
      <c r="L247" s="6">
        <f>INDEX(products!$A$1:$G$49, MATCH(orders!$D247, products!$A$1:$A$49, 0), MATCH(orders!L$1, products!$A$1:$G$1, 0))</f>
        <v>4.7549999999999999</v>
      </c>
      <c r="M247" s="6">
        <f t="shared" si="10"/>
        <v>23.774999999999999</v>
      </c>
      <c r="N247" t="str">
        <f t="shared" si="11"/>
        <v>Liberica</v>
      </c>
      <c r="O247" t="str">
        <f t="shared" si="9"/>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_xlfn.XLOOKUP(C248,customers!$A$2:$A$1001,customers!$B$2:$B$1001,,0)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 MATCH(orders!$D248, products!$A$1:$A$49, 0), MATCH(orders!I$1, products!$A$1:$G$1, 0))</f>
        <v>Lib</v>
      </c>
      <c r="J248" t="str">
        <f>INDEX(products!$A$1:$G$49, MATCH(orders!$D248, products!$A$1:$A$49, 0), MATCH(orders!J$1, products!$A$1:$G$1, 0))</f>
        <v>D</v>
      </c>
      <c r="K248" s="5">
        <f>INDEX(products!$A$1:$G$49, MATCH(orders!$D248, products!$A$1:$A$49, 0), MATCH(orders!K$1, products!$A$1:$G$1, 0))</f>
        <v>1</v>
      </c>
      <c r="L248" s="6">
        <f>INDEX(products!$A$1:$G$49, MATCH(orders!$D248, products!$A$1:$A$49, 0), MATCH(orders!L$1, products!$A$1:$G$1, 0))</f>
        <v>12.95</v>
      </c>
      <c r="M248" s="6">
        <f t="shared" si="10"/>
        <v>38.849999999999994</v>
      </c>
      <c r="N248" t="str">
        <f t="shared" si="11"/>
        <v>Liberica</v>
      </c>
      <c r="O248" t="str">
        <f t="shared" si="9"/>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_xlfn.XLOOKUP(C249,customers!$A$2:$A$1001,customers!$B$2:$B$1001,,0)</f>
        <v>Delmar Beasant</v>
      </c>
      <c r="G249" s="2" t="str">
        <f>IF(_xlfn.XLOOKUP(C249,customers!$A$1:$A$1001,customers!$C$1:$C$1001,,0)=0,"",_xlfn.XLOOKUP(C249,customers!$A$1:$A$1001,customers!$C$1:$C$1001,,0))</f>
        <v/>
      </c>
      <c r="H249" s="2" t="str">
        <f>_xlfn.XLOOKUP(C249,customers!$A$1:$A$1001,customers!$G$1:$G$1001,,0)</f>
        <v>Ireland</v>
      </c>
      <c r="I249" t="str">
        <f>INDEX(products!$A$1:$G$49, MATCH(orders!$D249, products!$A$1:$A$49, 0), MATCH(orders!I$1, products!$A$1:$G$1, 0))</f>
        <v>Rob</v>
      </c>
      <c r="J249" t="str">
        <f>INDEX(products!$A$1:$G$49, MATCH(orders!$D249, products!$A$1:$A$49, 0), MATCH(orders!J$1, products!$A$1:$G$1, 0))</f>
        <v>L</v>
      </c>
      <c r="K249" s="5">
        <f>INDEX(products!$A$1:$G$49, MATCH(orders!$D249, products!$A$1:$A$49, 0), MATCH(orders!K$1, products!$A$1:$G$1, 0))</f>
        <v>0.2</v>
      </c>
      <c r="L249" s="6">
        <f>INDEX(products!$A$1:$G$49, MATCH(orders!$D249, products!$A$1:$A$49, 0), MATCH(orders!L$1, products!$A$1:$G$1, 0))</f>
        <v>3.5849999999999995</v>
      </c>
      <c r="M249" s="6">
        <f t="shared" si="10"/>
        <v>21.509999999999998</v>
      </c>
      <c r="N249" t="str">
        <f t="shared" si="11"/>
        <v>Robusta</v>
      </c>
      <c r="O249" t="str">
        <f t="shared" si="9"/>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_xlfn.XLOOKUP(C250,customers!$A$2:$A$1001,customers!$B$2:$B$1001,,0)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 MATCH(orders!$D250, products!$A$1:$A$49, 0), MATCH(orders!I$1, products!$A$1:$G$1, 0))</f>
        <v>Ara</v>
      </c>
      <c r="J250" t="str">
        <f>INDEX(products!$A$1:$G$49, MATCH(orders!$D250, products!$A$1:$A$49, 0), MATCH(orders!J$1, products!$A$1:$G$1, 0))</f>
        <v>D</v>
      </c>
      <c r="K250" s="5">
        <f>INDEX(products!$A$1:$G$49, MATCH(orders!$D250, products!$A$1:$A$49, 0), MATCH(orders!K$1, products!$A$1:$G$1, 0))</f>
        <v>1</v>
      </c>
      <c r="L250" s="6">
        <f>INDEX(products!$A$1:$G$49, MATCH(orders!$D250, products!$A$1:$A$49, 0), MATCH(orders!L$1, products!$A$1:$G$1, 0))</f>
        <v>9.9499999999999993</v>
      </c>
      <c r="M250" s="6">
        <f t="shared" si="10"/>
        <v>9.9499999999999993</v>
      </c>
      <c r="N250" t="str">
        <f t="shared" si="11"/>
        <v>Arabica</v>
      </c>
      <c r="O250" t="str">
        <f t="shared" si="9"/>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_xlfn.XLOOKUP(C251,customers!$A$2:$A$1001,customers!$B$2:$B$1001,,0)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 MATCH(orders!$D251, products!$A$1:$A$49, 0), MATCH(orders!I$1, products!$A$1:$G$1, 0))</f>
        <v>Lib</v>
      </c>
      <c r="J251" t="str">
        <f>INDEX(products!$A$1:$G$49, MATCH(orders!$D251, products!$A$1:$A$49, 0), MATCH(orders!J$1, products!$A$1:$G$1, 0))</f>
        <v>L</v>
      </c>
      <c r="K251" s="5">
        <f>INDEX(products!$A$1:$G$49, MATCH(orders!$D251, products!$A$1:$A$49, 0), MATCH(orders!K$1, products!$A$1:$G$1, 0))</f>
        <v>1</v>
      </c>
      <c r="L251" s="6">
        <f>INDEX(products!$A$1:$G$49, MATCH(orders!$D251, products!$A$1:$A$49, 0), MATCH(orders!L$1, products!$A$1:$G$1, 0))</f>
        <v>15.85</v>
      </c>
      <c r="M251" s="6">
        <f t="shared" si="10"/>
        <v>15.85</v>
      </c>
      <c r="N251" t="str">
        <f t="shared" si="11"/>
        <v>Liberica</v>
      </c>
      <c r="O251" t="str">
        <f t="shared" si="9"/>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_xlfn.XLOOKUP(C252,customers!$A$2:$A$1001,customers!$B$2:$B$1001,,0)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 MATCH(orders!$D252, products!$A$1:$A$49, 0), MATCH(orders!I$1, products!$A$1:$G$1, 0))</f>
        <v>Rob</v>
      </c>
      <c r="J252" t="str">
        <f>INDEX(products!$A$1:$G$49, MATCH(orders!$D252, products!$A$1:$A$49, 0), MATCH(orders!J$1, products!$A$1:$G$1, 0))</f>
        <v>M</v>
      </c>
      <c r="K252" s="5">
        <f>INDEX(products!$A$1:$G$49, MATCH(orders!$D252, products!$A$1:$A$49, 0), MATCH(orders!K$1, products!$A$1:$G$1, 0))</f>
        <v>0.2</v>
      </c>
      <c r="L252" s="6">
        <f>INDEX(products!$A$1:$G$49, MATCH(orders!$D252, products!$A$1:$A$49, 0), MATCH(orders!L$1, products!$A$1:$G$1, 0))</f>
        <v>2.9849999999999999</v>
      </c>
      <c r="M252" s="6">
        <f t="shared" si="10"/>
        <v>2.9849999999999999</v>
      </c>
      <c r="N252" t="str">
        <f t="shared" si="11"/>
        <v>Robusta</v>
      </c>
      <c r="O252" t="str">
        <f t="shared" si="9"/>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_xlfn.XLOOKUP(C253,customers!$A$2:$A$1001,customers!$B$2:$B$1001,,0)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 MATCH(orders!$D253, products!$A$1:$A$49, 0), MATCH(orders!I$1, products!$A$1:$G$1, 0))</f>
        <v>Exc</v>
      </c>
      <c r="J253" t="str">
        <f>INDEX(products!$A$1:$G$49, MATCH(orders!$D253, products!$A$1:$A$49, 0), MATCH(orders!J$1, products!$A$1:$G$1, 0))</f>
        <v>M</v>
      </c>
      <c r="K253" s="5">
        <f>INDEX(products!$A$1:$G$49, MATCH(orders!$D253, products!$A$1:$A$49, 0), MATCH(orders!K$1, products!$A$1:$G$1, 0))</f>
        <v>1</v>
      </c>
      <c r="L253" s="6">
        <f>INDEX(products!$A$1:$G$49, MATCH(orders!$D253, products!$A$1:$A$49, 0), MATCH(orders!L$1, products!$A$1:$G$1, 0))</f>
        <v>13.75</v>
      </c>
      <c r="M253" s="6">
        <f t="shared" si="10"/>
        <v>68.75</v>
      </c>
      <c r="N253" t="str">
        <f t="shared" si="11"/>
        <v>Excelsa</v>
      </c>
      <c r="O253" t="str">
        <f t="shared" si="9"/>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_xlfn.XLOOKUP(C254,customers!$A$2:$A$1001,customers!$B$2:$B$1001,,0)</f>
        <v>Devy Bulbrook</v>
      </c>
      <c r="G254" s="2" t="str">
        <f>IF(_xlfn.XLOOKUP(C254,customers!$A$1:$A$1001,customers!$C$1:$C$1001,,0)=0,"",_xlfn.XLOOKUP(C254,customers!$A$1:$A$1001,customers!$C$1:$C$1001,,0))</f>
        <v/>
      </c>
      <c r="H254" s="2" t="str">
        <f>_xlfn.XLOOKUP(C254,customers!$A$1:$A$1001,customers!$G$1:$G$1001,,0)</f>
        <v>United States</v>
      </c>
      <c r="I254" t="str">
        <f>INDEX(products!$A$1:$G$49, MATCH(orders!$D254, products!$A$1:$A$49, 0), MATCH(orders!I$1, products!$A$1:$G$1, 0))</f>
        <v>Ara</v>
      </c>
      <c r="J254" t="str">
        <f>INDEX(products!$A$1:$G$49, MATCH(orders!$D254, products!$A$1:$A$49, 0), MATCH(orders!J$1, products!$A$1:$G$1, 0))</f>
        <v>D</v>
      </c>
      <c r="K254" s="5">
        <f>INDEX(products!$A$1:$G$49, MATCH(orders!$D254, products!$A$1:$A$49, 0), MATCH(orders!K$1, products!$A$1:$G$1, 0))</f>
        <v>1</v>
      </c>
      <c r="L254" s="6">
        <f>INDEX(products!$A$1:$G$49, MATCH(orders!$D254, products!$A$1:$A$49, 0), MATCH(orders!L$1, products!$A$1:$G$1, 0))</f>
        <v>9.9499999999999993</v>
      </c>
      <c r="M254" s="6">
        <f t="shared" si="10"/>
        <v>29.849999999999998</v>
      </c>
      <c r="N254" t="str">
        <f t="shared" si="11"/>
        <v>Arabica</v>
      </c>
      <c r="O254" t="str">
        <f t="shared" si="9"/>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_xlfn.XLOOKUP(C255,customers!$A$2:$A$1001,customers!$B$2:$B$1001,,0)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 MATCH(orders!$D255, products!$A$1:$A$49, 0), MATCH(orders!I$1, products!$A$1:$G$1, 0))</f>
        <v>Lib</v>
      </c>
      <c r="J255" t="str">
        <f>INDEX(products!$A$1:$G$49, MATCH(orders!$D255, products!$A$1:$A$49, 0), MATCH(orders!J$1, products!$A$1:$G$1, 0))</f>
        <v>M</v>
      </c>
      <c r="K255" s="5">
        <f>INDEX(products!$A$1:$G$49, MATCH(orders!$D255, products!$A$1:$A$49, 0), MATCH(orders!K$1, products!$A$1:$G$1, 0))</f>
        <v>1</v>
      </c>
      <c r="L255" s="6">
        <f>INDEX(products!$A$1:$G$49, MATCH(orders!$D255, products!$A$1:$A$49, 0), MATCH(orders!L$1, products!$A$1:$G$1, 0))</f>
        <v>14.55</v>
      </c>
      <c r="M255" s="6">
        <f t="shared" si="10"/>
        <v>58.2</v>
      </c>
      <c r="N255" t="str">
        <f t="shared" si="11"/>
        <v>Liberica</v>
      </c>
      <c r="O255" t="str">
        <f t="shared" si="9"/>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_xlfn.XLOOKUP(C256,customers!$A$2:$A$1001,customers!$B$2:$B$1001,,0)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 MATCH(orders!$D256, products!$A$1:$A$49, 0), MATCH(orders!I$1, products!$A$1:$G$1, 0))</f>
        <v>Rob</v>
      </c>
      <c r="J256" t="str">
        <f>INDEX(products!$A$1:$G$49, MATCH(orders!$D256, products!$A$1:$A$49, 0), MATCH(orders!J$1, products!$A$1:$G$1, 0))</f>
        <v>L</v>
      </c>
      <c r="K256" s="5">
        <f>INDEX(products!$A$1:$G$49, MATCH(orders!$D256, products!$A$1:$A$49, 0), MATCH(orders!K$1, products!$A$1:$G$1, 0))</f>
        <v>0.5</v>
      </c>
      <c r="L256" s="6">
        <f>INDEX(products!$A$1:$G$49, MATCH(orders!$D256, products!$A$1:$A$49, 0), MATCH(orders!L$1, products!$A$1:$G$1, 0))</f>
        <v>7.169999999999999</v>
      </c>
      <c r="M256" s="6">
        <f t="shared" si="10"/>
        <v>28.679999999999996</v>
      </c>
      <c r="N256" t="str">
        <f t="shared" si="11"/>
        <v>Robusta</v>
      </c>
      <c r="O256" t="str">
        <f t="shared" si="9"/>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_xlfn.XLOOKUP(C257,customers!$A$2:$A$1001,customers!$B$2:$B$1001,,0)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 MATCH(orders!$D257, products!$A$1:$A$49, 0), MATCH(orders!I$1, products!$A$1:$G$1, 0))</f>
        <v>Rob</v>
      </c>
      <c r="J257" t="str">
        <f>INDEX(products!$A$1:$G$49, MATCH(orders!$D257, products!$A$1:$A$49, 0), MATCH(orders!J$1, products!$A$1:$G$1, 0))</f>
        <v>L</v>
      </c>
      <c r="K257" s="5">
        <f>INDEX(products!$A$1:$G$49, MATCH(orders!$D257, products!$A$1:$A$49, 0), MATCH(orders!K$1, products!$A$1:$G$1, 0))</f>
        <v>0.5</v>
      </c>
      <c r="L257" s="6">
        <f>INDEX(products!$A$1:$G$49, MATCH(orders!$D257, products!$A$1:$A$49, 0), MATCH(orders!L$1, products!$A$1:$G$1, 0))</f>
        <v>7.169999999999999</v>
      </c>
      <c r="M257" s="6">
        <f t="shared" si="10"/>
        <v>21.509999999999998</v>
      </c>
      <c r="N257" t="str">
        <f t="shared" si="11"/>
        <v>Robusta</v>
      </c>
      <c r="O257" t="str">
        <f t="shared" si="9"/>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_xlfn.XLOOKUP(C258,customers!$A$2:$A$1001,customers!$B$2:$B$1001,,0)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 MATCH(orders!$D258, products!$A$1:$A$49, 0), MATCH(orders!I$1, products!$A$1:$G$1, 0))</f>
        <v>Lib</v>
      </c>
      <c r="J258" t="str">
        <f>INDEX(products!$A$1:$G$49, MATCH(orders!$D258, products!$A$1:$A$49, 0), MATCH(orders!J$1, products!$A$1:$G$1, 0))</f>
        <v>M</v>
      </c>
      <c r="K258" s="5">
        <f>INDEX(products!$A$1:$G$49, MATCH(orders!$D258, products!$A$1:$A$49, 0), MATCH(orders!K$1, products!$A$1:$G$1, 0))</f>
        <v>0.5</v>
      </c>
      <c r="L258" s="6">
        <f>INDEX(products!$A$1:$G$49, MATCH(orders!$D258, products!$A$1:$A$49, 0), MATCH(orders!L$1, products!$A$1:$G$1, 0))</f>
        <v>8.73</v>
      </c>
      <c r="M258" s="6">
        <f t="shared" si="10"/>
        <v>17.46</v>
      </c>
      <c r="N258" t="str">
        <f t="shared" si="11"/>
        <v>Liberica</v>
      </c>
      <c r="O258" t="str">
        <f t="shared" ref="O258:O321" si="12">IF(J258="M","Medium",IF(J258="l","Light",IF(J258="d","Dark","")))</f>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_xlfn.XLOOKUP(C259,customers!$A$2:$A$1001,customers!$B$2:$B$1001,,0)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 MATCH(orders!$D259, products!$A$1:$A$49, 0), MATCH(orders!I$1, products!$A$1:$G$1, 0))</f>
        <v>Exc</v>
      </c>
      <c r="J259" t="str">
        <f>INDEX(products!$A$1:$G$49, MATCH(orders!$D259, products!$A$1:$A$49, 0), MATCH(orders!J$1, products!$A$1:$G$1, 0))</f>
        <v>D</v>
      </c>
      <c r="K259" s="5">
        <f>INDEX(products!$A$1:$G$49, MATCH(orders!$D259, products!$A$1:$A$49, 0), MATCH(orders!K$1, products!$A$1:$G$1, 0))</f>
        <v>2.5</v>
      </c>
      <c r="L259" s="6">
        <f>INDEX(products!$A$1:$G$49, MATCH(orders!$D259, products!$A$1:$A$49, 0), MATCH(orders!L$1, products!$A$1:$G$1, 0))</f>
        <v>27.945</v>
      </c>
      <c r="M259" s="6">
        <f t="shared" ref="M259:M322" si="13">L259*E259</f>
        <v>27.945</v>
      </c>
      <c r="N259" t="str">
        <f t="shared" ref="N259:N322" si="14">IF(I259="Rob","Robusta",IF(I259="Exc","Excelsa",IF(I259="Ara","Arabica",IF(I259="lib","Liberica",""))))</f>
        <v>Excelsa</v>
      </c>
      <c r="O259" t="str">
        <f t="shared" si="12"/>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_xlfn.XLOOKUP(C260,customers!$A$2:$A$1001,customers!$B$2:$B$1001,,0)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 MATCH(orders!$D260, products!$A$1:$A$49, 0), MATCH(orders!I$1, products!$A$1:$G$1, 0))</f>
        <v>Exc</v>
      </c>
      <c r="J260" t="str">
        <f>INDEX(products!$A$1:$G$49, MATCH(orders!$D260, products!$A$1:$A$49, 0), MATCH(orders!J$1, products!$A$1:$G$1, 0))</f>
        <v>D</v>
      </c>
      <c r="K260" s="5">
        <f>INDEX(products!$A$1:$G$49, MATCH(orders!$D260, products!$A$1:$A$49, 0), MATCH(orders!K$1, products!$A$1:$G$1, 0))</f>
        <v>2.5</v>
      </c>
      <c r="L260" s="6">
        <f>INDEX(products!$A$1:$G$49, MATCH(orders!$D260, products!$A$1:$A$49, 0), MATCH(orders!L$1, products!$A$1:$G$1, 0))</f>
        <v>27.945</v>
      </c>
      <c r="M260" s="6">
        <f t="shared" si="13"/>
        <v>139.72499999999999</v>
      </c>
      <c r="N260" t="str">
        <f t="shared" si="14"/>
        <v>Excelsa</v>
      </c>
      <c r="O260" t="str">
        <f t="shared" si="12"/>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_xlfn.XLOOKUP(C261,customers!$A$2:$A$1001,customers!$B$2:$B$1001,,0)</f>
        <v>Irv Hay</v>
      </c>
      <c r="G261" s="2" t="str">
        <f>IF(_xlfn.XLOOKUP(C261,customers!$A$1:$A$1001,customers!$C$1:$C$1001,,0)=0,"",_xlfn.XLOOKUP(C261,customers!$A$1:$A$1001,customers!$C$1:$C$1001,,0))</f>
        <v>ihay77@lulu.com</v>
      </c>
      <c r="H261" s="2" t="str">
        <f>_xlfn.XLOOKUP(C261,customers!$A$1:$A$1001,customers!$G$1:$G$1001,,0)</f>
        <v>United Kingdom</v>
      </c>
      <c r="I261" t="str">
        <f>INDEX(products!$A$1:$G$49, MATCH(orders!$D261, products!$A$1:$A$49, 0), MATCH(orders!I$1, products!$A$1:$G$1, 0))</f>
        <v>Rob</v>
      </c>
      <c r="J261" t="str">
        <f>INDEX(products!$A$1:$G$49, MATCH(orders!$D261, products!$A$1:$A$49, 0), MATCH(orders!J$1, products!$A$1:$G$1, 0))</f>
        <v>M</v>
      </c>
      <c r="K261" s="5">
        <f>INDEX(products!$A$1:$G$49, MATCH(orders!$D261, products!$A$1:$A$49, 0), MATCH(orders!K$1, products!$A$1:$G$1, 0))</f>
        <v>0.2</v>
      </c>
      <c r="L261" s="6">
        <f>INDEX(products!$A$1:$G$49, MATCH(orders!$D261, products!$A$1:$A$49, 0), MATCH(orders!L$1, products!$A$1:$G$1, 0))</f>
        <v>2.9849999999999999</v>
      </c>
      <c r="M261" s="6">
        <f t="shared" si="13"/>
        <v>5.97</v>
      </c>
      <c r="N261" t="str">
        <f t="shared" si="14"/>
        <v>Robusta</v>
      </c>
      <c r="O261" t="str">
        <f t="shared" si="12"/>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_xlfn.XLOOKUP(C262,customers!$A$2:$A$1001,customers!$B$2:$B$1001,,0)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 MATCH(orders!$D262, products!$A$1:$A$49, 0), MATCH(orders!I$1, products!$A$1:$G$1, 0))</f>
        <v>Rob</v>
      </c>
      <c r="J262" t="str">
        <f>INDEX(products!$A$1:$G$49, MATCH(orders!$D262, products!$A$1:$A$49, 0), MATCH(orders!J$1, products!$A$1:$G$1, 0))</f>
        <v>L</v>
      </c>
      <c r="K262" s="5">
        <f>INDEX(products!$A$1:$G$49, MATCH(orders!$D262, products!$A$1:$A$49, 0), MATCH(orders!K$1, products!$A$1:$G$1, 0))</f>
        <v>2.5</v>
      </c>
      <c r="L262" s="6">
        <f>INDEX(products!$A$1:$G$49, MATCH(orders!$D262, products!$A$1:$A$49, 0), MATCH(orders!L$1, products!$A$1:$G$1, 0))</f>
        <v>27.484999999999996</v>
      </c>
      <c r="M262" s="6">
        <f t="shared" si="13"/>
        <v>27.484999999999996</v>
      </c>
      <c r="N262" t="str">
        <f t="shared" si="14"/>
        <v>Robusta</v>
      </c>
      <c r="O262" t="str">
        <f t="shared" si="12"/>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_xlfn.XLOOKUP(C263,customers!$A$2:$A$1001,customers!$B$2:$B$1001,,0)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 MATCH(orders!$D263, products!$A$1:$A$49, 0), MATCH(orders!I$1, products!$A$1:$G$1, 0))</f>
        <v>Rob</v>
      </c>
      <c r="J263" t="str">
        <f>INDEX(products!$A$1:$G$49, MATCH(orders!$D263, products!$A$1:$A$49, 0), MATCH(orders!J$1, products!$A$1:$G$1, 0))</f>
        <v>L</v>
      </c>
      <c r="K263" s="5">
        <f>INDEX(products!$A$1:$G$49, MATCH(orders!$D263, products!$A$1:$A$49, 0), MATCH(orders!K$1, products!$A$1:$G$1, 0))</f>
        <v>1</v>
      </c>
      <c r="L263" s="6">
        <f>INDEX(products!$A$1:$G$49, MATCH(orders!$D263, products!$A$1:$A$49, 0), MATCH(orders!L$1, products!$A$1:$G$1, 0))</f>
        <v>11.95</v>
      </c>
      <c r="M263" s="6">
        <f t="shared" si="13"/>
        <v>59.75</v>
      </c>
      <c r="N263" t="str">
        <f t="shared" si="14"/>
        <v>Robusta</v>
      </c>
      <c r="O263" t="str">
        <f t="shared" si="12"/>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_xlfn.XLOOKUP(C264,customers!$A$2:$A$1001,customers!$B$2:$B$1001,,0)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 MATCH(orders!$D264, products!$A$1:$A$49, 0), MATCH(orders!I$1, products!$A$1:$G$1, 0))</f>
        <v>Exc</v>
      </c>
      <c r="J264" t="str">
        <f>INDEX(products!$A$1:$G$49, MATCH(orders!$D264, products!$A$1:$A$49, 0), MATCH(orders!J$1, products!$A$1:$G$1, 0))</f>
        <v>M</v>
      </c>
      <c r="K264" s="5">
        <f>INDEX(products!$A$1:$G$49, MATCH(orders!$D264, products!$A$1:$A$49, 0), MATCH(orders!K$1, products!$A$1:$G$1, 0))</f>
        <v>1</v>
      </c>
      <c r="L264" s="6">
        <f>INDEX(products!$A$1:$G$49, MATCH(orders!$D264, products!$A$1:$A$49, 0), MATCH(orders!L$1, products!$A$1:$G$1, 0))</f>
        <v>13.75</v>
      </c>
      <c r="M264" s="6">
        <f t="shared" si="13"/>
        <v>41.25</v>
      </c>
      <c r="N264" t="str">
        <f t="shared" si="14"/>
        <v>Excelsa</v>
      </c>
      <c r="O264" t="str">
        <f t="shared" si="12"/>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_xlfn.XLOOKUP(C265,customers!$A$2:$A$1001,customers!$B$2:$B$1001,,0)</f>
        <v>Mar McIver</v>
      </c>
      <c r="G265" s="2" t="str">
        <f>IF(_xlfn.XLOOKUP(C265,customers!$A$1:$A$1001,customers!$C$1:$C$1001,,0)=0,"",_xlfn.XLOOKUP(C265,customers!$A$1:$A$1001,customers!$C$1:$C$1001,,0))</f>
        <v/>
      </c>
      <c r="H265" s="2" t="str">
        <f>_xlfn.XLOOKUP(C265,customers!$A$1:$A$1001,customers!$G$1:$G$1001,,0)</f>
        <v>United States</v>
      </c>
      <c r="I265" t="str">
        <f>INDEX(products!$A$1:$G$49, MATCH(orders!$D265, products!$A$1:$A$49, 0), MATCH(orders!I$1, products!$A$1:$G$1, 0))</f>
        <v>Lib</v>
      </c>
      <c r="J265" t="str">
        <f>INDEX(products!$A$1:$G$49, MATCH(orders!$D265, products!$A$1:$A$49, 0), MATCH(orders!J$1, products!$A$1:$G$1, 0))</f>
        <v>M</v>
      </c>
      <c r="K265" s="5">
        <f>INDEX(products!$A$1:$G$49, MATCH(orders!$D265, products!$A$1:$A$49, 0), MATCH(orders!K$1, products!$A$1:$G$1, 0))</f>
        <v>2.5</v>
      </c>
      <c r="L265" s="6">
        <f>INDEX(products!$A$1:$G$49, MATCH(orders!$D265, products!$A$1:$A$49, 0), MATCH(orders!L$1, products!$A$1:$G$1, 0))</f>
        <v>33.464999999999996</v>
      </c>
      <c r="M265" s="6">
        <f t="shared" si="13"/>
        <v>133.85999999999999</v>
      </c>
      <c r="N265" t="str">
        <f t="shared" si="14"/>
        <v>Liberica</v>
      </c>
      <c r="O265" t="str">
        <f t="shared" si="12"/>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_xlfn.XLOOKUP(C266,customers!$A$2:$A$1001,customers!$B$2:$B$1001,,0)</f>
        <v>Arabella Fransewich</v>
      </c>
      <c r="G266" s="2" t="str">
        <f>IF(_xlfn.XLOOKUP(C266,customers!$A$1:$A$1001,customers!$C$1:$C$1001,,0)=0,"",_xlfn.XLOOKUP(C266,customers!$A$1:$A$1001,customers!$C$1:$C$1001,,0))</f>
        <v/>
      </c>
      <c r="H266" s="2" t="str">
        <f>_xlfn.XLOOKUP(C266,customers!$A$1:$A$1001,customers!$G$1:$G$1001,,0)</f>
        <v>Ireland</v>
      </c>
      <c r="I266" t="str">
        <f>INDEX(products!$A$1:$G$49, MATCH(orders!$D266, products!$A$1:$A$49, 0), MATCH(orders!I$1, products!$A$1:$G$1, 0))</f>
        <v>Rob</v>
      </c>
      <c r="J266" t="str">
        <f>INDEX(products!$A$1:$G$49, MATCH(orders!$D266, products!$A$1:$A$49, 0), MATCH(orders!J$1, products!$A$1:$G$1, 0))</f>
        <v>L</v>
      </c>
      <c r="K266" s="5">
        <f>INDEX(products!$A$1:$G$49, MATCH(orders!$D266, products!$A$1:$A$49, 0), MATCH(orders!K$1, products!$A$1:$G$1, 0))</f>
        <v>1</v>
      </c>
      <c r="L266" s="6">
        <f>INDEX(products!$A$1:$G$49, MATCH(orders!$D266, products!$A$1:$A$49, 0), MATCH(orders!L$1, products!$A$1:$G$1, 0))</f>
        <v>11.95</v>
      </c>
      <c r="M266" s="6">
        <f t="shared" si="13"/>
        <v>59.75</v>
      </c>
      <c r="N266" t="str">
        <f t="shared" si="14"/>
        <v>Robusta</v>
      </c>
      <c r="O266" t="str">
        <f t="shared" si="12"/>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_xlfn.XLOOKUP(C267,customers!$A$2:$A$1001,customers!$B$2:$B$1001,,0)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 MATCH(orders!$D267, products!$A$1:$A$49, 0), MATCH(orders!I$1, products!$A$1:$G$1, 0))</f>
        <v>Ara</v>
      </c>
      <c r="J267" t="str">
        <f>INDEX(products!$A$1:$G$49, MATCH(orders!$D267, products!$A$1:$A$49, 0), MATCH(orders!J$1, products!$A$1:$G$1, 0))</f>
        <v>D</v>
      </c>
      <c r="K267" s="5">
        <f>INDEX(products!$A$1:$G$49, MATCH(orders!$D267, products!$A$1:$A$49, 0), MATCH(orders!K$1, products!$A$1:$G$1, 0))</f>
        <v>0.5</v>
      </c>
      <c r="L267" s="6">
        <f>INDEX(products!$A$1:$G$49, MATCH(orders!$D267, products!$A$1:$A$49, 0), MATCH(orders!L$1, products!$A$1:$G$1, 0))</f>
        <v>5.97</v>
      </c>
      <c r="M267" s="6">
        <f t="shared" si="13"/>
        <v>5.97</v>
      </c>
      <c r="N267" t="str">
        <f t="shared" si="14"/>
        <v>Arabica</v>
      </c>
      <c r="O267" t="str">
        <f t="shared" si="12"/>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_xlfn.XLOOKUP(C268,customers!$A$2:$A$1001,customers!$B$2:$B$1001,,0)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 MATCH(orders!$D268, products!$A$1:$A$49, 0), MATCH(orders!I$1, products!$A$1:$G$1, 0))</f>
        <v>Exc</v>
      </c>
      <c r="J268" t="str">
        <f>INDEX(products!$A$1:$G$49, MATCH(orders!$D268, products!$A$1:$A$49, 0), MATCH(orders!J$1, products!$A$1:$G$1, 0))</f>
        <v>D</v>
      </c>
      <c r="K268" s="5">
        <f>INDEX(products!$A$1:$G$49, MATCH(orders!$D268, products!$A$1:$A$49, 0), MATCH(orders!K$1, products!$A$1:$G$1, 0))</f>
        <v>1</v>
      </c>
      <c r="L268" s="6">
        <f>INDEX(products!$A$1:$G$49, MATCH(orders!$D268, products!$A$1:$A$49, 0), MATCH(orders!L$1, products!$A$1:$G$1, 0))</f>
        <v>12.15</v>
      </c>
      <c r="M268" s="6">
        <f t="shared" si="13"/>
        <v>24.3</v>
      </c>
      <c r="N268" t="str">
        <f t="shared" si="14"/>
        <v>Excelsa</v>
      </c>
      <c r="O268" t="str">
        <f t="shared" si="12"/>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_xlfn.XLOOKUP(C269,customers!$A$2:$A$1001,customers!$B$2:$B$1001,,0)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 MATCH(orders!$D269, products!$A$1:$A$49, 0), MATCH(orders!I$1, products!$A$1:$G$1, 0))</f>
        <v>Exc</v>
      </c>
      <c r="J269" t="str">
        <f>INDEX(products!$A$1:$G$49, MATCH(orders!$D269, products!$A$1:$A$49, 0), MATCH(orders!J$1, products!$A$1:$G$1, 0))</f>
        <v>D</v>
      </c>
      <c r="K269" s="5">
        <f>INDEX(products!$A$1:$G$49, MATCH(orders!$D269, products!$A$1:$A$49, 0), MATCH(orders!K$1, products!$A$1:$G$1, 0))</f>
        <v>0.2</v>
      </c>
      <c r="L269" s="6">
        <f>INDEX(products!$A$1:$G$49, MATCH(orders!$D269, products!$A$1:$A$49, 0), MATCH(orders!L$1, products!$A$1:$G$1, 0))</f>
        <v>3.645</v>
      </c>
      <c r="M269" s="6">
        <f t="shared" si="13"/>
        <v>21.87</v>
      </c>
      <c r="N269" t="str">
        <f t="shared" si="14"/>
        <v>Excelsa</v>
      </c>
      <c r="O269" t="str">
        <f t="shared" si="12"/>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_xlfn.XLOOKUP(C270,customers!$A$2:$A$1001,customers!$B$2:$B$1001,,0)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 MATCH(orders!$D270, products!$A$1:$A$49, 0), MATCH(orders!I$1, products!$A$1:$G$1, 0))</f>
        <v>Ara</v>
      </c>
      <c r="J270" t="str">
        <f>INDEX(products!$A$1:$G$49, MATCH(orders!$D270, products!$A$1:$A$49, 0), MATCH(orders!J$1, products!$A$1:$G$1, 0))</f>
        <v>D</v>
      </c>
      <c r="K270" s="5">
        <f>INDEX(products!$A$1:$G$49, MATCH(orders!$D270, products!$A$1:$A$49, 0), MATCH(orders!K$1, products!$A$1:$G$1, 0))</f>
        <v>1</v>
      </c>
      <c r="L270" s="6">
        <f>INDEX(products!$A$1:$G$49, MATCH(orders!$D270, products!$A$1:$A$49, 0), MATCH(orders!L$1, products!$A$1:$G$1, 0))</f>
        <v>9.9499999999999993</v>
      </c>
      <c r="M270" s="6">
        <f t="shared" si="13"/>
        <v>19.899999999999999</v>
      </c>
      <c r="N270" t="str">
        <f t="shared" si="14"/>
        <v>Arabica</v>
      </c>
      <c r="O270" t="str">
        <f t="shared" si="12"/>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_xlfn.XLOOKUP(C271,customers!$A$2:$A$1001,customers!$B$2:$B$1001,,0)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 MATCH(orders!$D271, products!$A$1:$A$49, 0), MATCH(orders!I$1, products!$A$1:$G$1, 0))</f>
        <v>Ara</v>
      </c>
      <c r="J271" t="str">
        <f>INDEX(products!$A$1:$G$49, MATCH(orders!$D271, products!$A$1:$A$49, 0), MATCH(orders!J$1, products!$A$1:$G$1, 0))</f>
        <v>D</v>
      </c>
      <c r="K271" s="5">
        <f>INDEX(products!$A$1:$G$49, MATCH(orders!$D271, products!$A$1:$A$49, 0), MATCH(orders!K$1, products!$A$1:$G$1, 0))</f>
        <v>0.2</v>
      </c>
      <c r="L271" s="6">
        <f>INDEX(products!$A$1:$G$49, MATCH(orders!$D271, products!$A$1:$A$49, 0), MATCH(orders!L$1, products!$A$1:$G$1, 0))</f>
        <v>2.9849999999999999</v>
      </c>
      <c r="M271" s="6">
        <f t="shared" si="13"/>
        <v>5.97</v>
      </c>
      <c r="N271" t="str">
        <f t="shared" si="14"/>
        <v>Arabica</v>
      </c>
      <c r="O271" t="str">
        <f t="shared" si="12"/>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_xlfn.XLOOKUP(C272,customers!$A$2:$A$1001,customers!$B$2:$B$1001,,0)</f>
        <v>Barney Chisnell</v>
      </c>
      <c r="G272" s="2" t="str">
        <f>IF(_xlfn.XLOOKUP(C272,customers!$A$1:$A$1001,customers!$C$1:$C$1001,,0)=0,"",_xlfn.XLOOKUP(C272,customers!$A$1:$A$1001,customers!$C$1:$C$1001,,0))</f>
        <v/>
      </c>
      <c r="H272" s="2" t="str">
        <f>_xlfn.XLOOKUP(C272,customers!$A$1:$A$1001,customers!$G$1:$G$1001,,0)</f>
        <v>Ireland</v>
      </c>
      <c r="I272" t="str">
        <f>INDEX(products!$A$1:$G$49, MATCH(orders!$D272, products!$A$1:$A$49, 0), MATCH(orders!I$1, products!$A$1:$G$1, 0))</f>
        <v>Exc</v>
      </c>
      <c r="J272" t="str">
        <f>INDEX(products!$A$1:$G$49, MATCH(orders!$D272, products!$A$1:$A$49, 0), MATCH(orders!J$1, products!$A$1:$G$1, 0))</f>
        <v>D</v>
      </c>
      <c r="K272" s="5">
        <f>INDEX(products!$A$1:$G$49, MATCH(orders!$D272, products!$A$1:$A$49, 0), MATCH(orders!K$1, products!$A$1:$G$1, 0))</f>
        <v>0.5</v>
      </c>
      <c r="L272" s="6">
        <f>INDEX(products!$A$1:$G$49, MATCH(orders!$D272, products!$A$1:$A$49, 0), MATCH(orders!L$1, products!$A$1:$G$1, 0))</f>
        <v>7.29</v>
      </c>
      <c r="M272" s="6">
        <f t="shared" si="13"/>
        <v>7.29</v>
      </c>
      <c r="N272" t="str">
        <f t="shared" si="14"/>
        <v>Excelsa</v>
      </c>
      <c r="O272" t="str">
        <f t="shared" si="12"/>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_xlfn.XLOOKUP(C273,customers!$A$2:$A$1001,customers!$B$2:$B$1001,,0)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 MATCH(orders!$D273, products!$A$1:$A$49, 0), MATCH(orders!I$1, products!$A$1:$G$1, 0))</f>
        <v>Ara</v>
      </c>
      <c r="J273" t="str">
        <f>INDEX(products!$A$1:$G$49, MATCH(orders!$D273, products!$A$1:$A$49, 0), MATCH(orders!J$1, products!$A$1:$G$1, 0))</f>
        <v>D</v>
      </c>
      <c r="K273" s="5">
        <f>INDEX(products!$A$1:$G$49, MATCH(orders!$D273, products!$A$1:$A$49, 0), MATCH(orders!K$1, products!$A$1:$G$1, 0))</f>
        <v>0.2</v>
      </c>
      <c r="L273" s="6">
        <f>INDEX(products!$A$1:$G$49, MATCH(orders!$D273, products!$A$1:$A$49, 0), MATCH(orders!L$1, products!$A$1:$G$1, 0))</f>
        <v>2.9849999999999999</v>
      </c>
      <c r="M273" s="6">
        <f t="shared" si="13"/>
        <v>11.94</v>
      </c>
      <c r="N273" t="str">
        <f t="shared" si="14"/>
        <v>Arabica</v>
      </c>
      <c r="O273" t="str">
        <f t="shared" si="12"/>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_xlfn.XLOOKUP(C274,customers!$A$2:$A$1001,customers!$B$2:$B$1001,,0)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 MATCH(orders!$D274, products!$A$1:$A$49, 0), MATCH(orders!I$1, products!$A$1:$G$1, 0))</f>
        <v>Rob</v>
      </c>
      <c r="J274" t="str">
        <f>INDEX(products!$A$1:$G$49, MATCH(orders!$D274, products!$A$1:$A$49, 0), MATCH(orders!J$1, products!$A$1:$G$1, 0))</f>
        <v>L</v>
      </c>
      <c r="K274" s="5">
        <f>INDEX(products!$A$1:$G$49, MATCH(orders!$D274, products!$A$1:$A$49, 0), MATCH(orders!K$1, products!$A$1:$G$1, 0))</f>
        <v>1</v>
      </c>
      <c r="L274" s="6">
        <f>INDEX(products!$A$1:$G$49, MATCH(orders!$D274, products!$A$1:$A$49, 0), MATCH(orders!L$1, products!$A$1:$G$1, 0))</f>
        <v>11.95</v>
      </c>
      <c r="M274" s="6">
        <f t="shared" si="13"/>
        <v>71.699999999999989</v>
      </c>
      <c r="N274" t="str">
        <f t="shared" si="14"/>
        <v>Robusta</v>
      </c>
      <c r="O274" t="str">
        <f t="shared" si="12"/>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_xlfn.XLOOKUP(C275,customers!$A$2:$A$1001,customers!$B$2:$B$1001,,0)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 MATCH(orders!$D275, products!$A$1:$A$49, 0), MATCH(orders!I$1, products!$A$1:$G$1, 0))</f>
        <v>Ara</v>
      </c>
      <c r="J275" t="str">
        <f>INDEX(products!$A$1:$G$49, MATCH(orders!$D275, products!$A$1:$A$49, 0), MATCH(orders!J$1, products!$A$1:$G$1, 0))</f>
        <v>L</v>
      </c>
      <c r="K275" s="5">
        <f>INDEX(products!$A$1:$G$49, MATCH(orders!$D275, products!$A$1:$A$49, 0), MATCH(orders!K$1, products!$A$1:$G$1, 0))</f>
        <v>0.2</v>
      </c>
      <c r="L275" s="6">
        <f>INDEX(products!$A$1:$G$49, MATCH(orders!$D275, products!$A$1:$A$49, 0), MATCH(orders!L$1, products!$A$1:$G$1, 0))</f>
        <v>3.8849999999999998</v>
      </c>
      <c r="M275" s="6">
        <f t="shared" si="13"/>
        <v>7.77</v>
      </c>
      <c r="N275" t="str">
        <f t="shared" si="14"/>
        <v>Arabica</v>
      </c>
      <c r="O275" t="str">
        <f t="shared" si="12"/>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_xlfn.XLOOKUP(C276,customers!$A$2:$A$1001,customers!$B$2:$B$1001,,0)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 MATCH(orders!$D276, products!$A$1:$A$49, 0), MATCH(orders!I$1, products!$A$1:$G$1, 0))</f>
        <v>Ara</v>
      </c>
      <c r="J276" t="str">
        <f>INDEX(products!$A$1:$G$49, MATCH(orders!$D276, products!$A$1:$A$49, 0), MATCH(orders!J$1, products!$A$1:$G$1, 0))</f>
        <v>M</v>
      </c>
      <c r="K276" s="5">
        <f>INDEX(products!$A$1:$G$49, MATCH(orders!$D276, products!$A$1:$A$49, 0), MATCH(orders!K$1, products!$A$1:$G$1, 0))</f>
        <v>2.5</v>
      </c>
      <c r="L276" s="6">
        <f>INDEX(products!$A$1:$G$49, MATCH(orders!$D276, products!$A$1:$A$49, 0), MATCH(orders!L$1, products!$A$1:$G$1, 0))</f>
        <v>25.874999999999996</v>
      </c>
      <c r="M276" s="6">
        <f t="shared" si="13"/>
        <v>25.874999999999996</v>
      </c>
      <c r="N276" t="str">
        <f t="shared" si="14"/>
        <v>Arabica</v>
      </c>
      <c r="O276" t="str">
        <f t="shared" si="12"/>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_xlfn.XLOOKUP(C277,customers!$A$2:$A$1001,customers!$B$2:$B$1001,,0)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 MATCH(orders!$D277, products!$A$1:$A$49, 0), MATCH(orders!I$1, products!$A$1:$G$1, 0))</f>
        <v>Exc</v>
      </c>
      <c r="J277" t="str">
        <f>INDEX(products!$A$1:$G$49, MATCH(orders!$D277, products!$A$1:$A$49, 0), MATCH(orders!J$1, products!$A$1:$G$1, 0))</f>
        <v>L</v>
      </c>
      <c r="K277" s="5">
        <f>INDEX(products!$A$1:$G$49, MATCH(orders!$D277, products!$A$1:$A$49, 0), MATCH(orders!K$1, products!$A$1:$G$1, 0))</f>
        <v>2.5</v>
      </c>
      <c r="L277" s="6">
        <f>INDEX(products!$A$1:$G$49, MATCH(orders!$D277, products!$A$1:$A$49, 0), MATCH(orders!L$1, products!$A$1:$G$1, 0))</f>
        <v>34.154999999999994</v>
      </c>
      <c r="M277" s="6">
        <f t="shared" si="13"/>
        <v>204.92999999999995</v>
      </c>
      <c r="N277" t="str">
        <f t="shared" si="14"/>
        <v>Excelsa</v>
      </c>
      <c r="O277" t="str">
        <f t="shared" si="12"/>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_xlfn.XLOOKUP(C278,customers!$A$2:$A$1001,customers!$B$2:$B$1001,,0)</f>
        <v>Dorelia Bury</v>
      </c>
      <c r="G278" s="2" t="str">
        <f>IF(_xlfn.XLOOKUP(C278,customers!$A$1:$A$1001,customers!$C$1:$C$1001,,0)=0,"",_xlfn.XLOOKUP(C278,customers!$A$1:$A$1001,customers!$C$1:$C$1001,,0))</f>
        <v>dbury7o@tinyurl.com</v>
      </c>
      <c r="H278" s="2" t="str">
        <f>_xlfn.XLOOKUP(C278,customers!$A$1:$A$1001,customers!$G$1:$G$1001,,0)</f>
        <v>Ireland</v>
      </c>
      <c r="I278" t="str">
        <f>INDEX(products!$A$1:$G$49, MATCH(orders!$D278, products!$A$1:$A$49, 0), MATCH(orders!I$1, products!$A$1:$G$1, 0))</f>
        <v>Rob</v>
      </c>
      <c r="J278" t="str">
        <f>INDEX(products!$A$1:$G$49, MATCH(orders!$D278, products!$A$1:$A$49, 0), MATCH(orders!J$1, products!$A$1:$G$1, 0))</f>
        <v>L</v>
      </c>
      <c r="K278" s="5">
        <f>INDEX(products!$A$1:$G$49, MATCH(orders!$D278, products!$A$1:$A$49, 0), MATCH(orders!K$1, products!$A$1:$G$1, 0))</f>
        <v>2.5</v>
      </c>
      <c r="L278" s="6">
        <f>INDEX(products!$A$1:$G$49, MATCH(orders!$D278, products!$A$1:$A$49, 0), MATCH(orders!L$1, products!$A$1:$G$1, 0))</f>
        <v>27.484999999999996</v>
      </c>
      <c r="M278" s="6">
        <f t="shared" si="13"/>
        <v>109.93999999999998</v>
      </c>
      <c r="N278" t="str">
        <f t="shared" si="14"/>
        <v>Robusta</v>
      </c>
      <c r="O278" t="str">
        <f t="shared" si="12"/>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_xlfn.XLOOKUP(C279,customers!$A$2:$A$1001,customers!$B$2:$B$1001,,0)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 MATCH(orders!$D279, products!$A$1:$A$49, 0), MATCH(orders!I$1, products!$A$1:$G$1, 0))</f>
        <v>Exc</v>
      </c>
      <c r="J279" t="str">
        <f>INDEX(products!$A$1:$G$49, MATCH(orders!$D279, products!$A$1:$A$49, 0), MATCH(orders!J$1, products!$A$1:$G$1, 0))</f>
        <v>L</v>
      </c>
      <c r="K279" s="5">
        <f>INDEX(products!$A$1:$G$49, MATCH(orders!$D279, products!$A$1:$A$49, 0), MATCH(orders!K$1, products!$A$1:$G$1, 0))</f>
        <v>1</v>
      </c>
      <c r="L279" s="6">
        <f>INDEX(products!$A$1:$G$49, MATCH(orders!$D279, products!$A$1:$A$49, 0), MATCH(orders!L$1, products!$A$1:$G$1, 0))</f>
        <v>14.85</v>
      </c>
      <c r="M279" s="6">
        <f t="shared" si="13"/>
        <v>89.1</v>
      </c>
      <c r="N279" t="str">
        <f t="shared" si="14"/>
        <v>Excelsa</v>
      </c>
      <c r="O279" t="str">
        <f t="shared" si="12"/>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_xlfn.XLOOKUP(C280,customers!$A$2:$A$1001,customers!$B$2:$B$1001,,0)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 MATCH(orders!$D280, products!$A$1:$A$49, 0), MATCH(orders!I$1, products!$A$1:$G$1, 0))</f>
        <v>Ara</v>
      </c>
      <c r="J280" t="str">
        <f>INDEX(products!$A$1:$G$49, MATCH(orders!$D280, products!$A$1:$A$49, 0), MATCH(orders!J$1, products!$A$1:$G$1, 0))</f>
        <v>L</v>
      </c>
      <c r="K280" s="5">
        <f>INDEX(products!$A$1:$G$49, MATCH(orders!$D280, products!$A$1:$A$49, 0), MATCH(orders!K$1, products!$A$1:$G$1, 0))</f>
        <v>0.2</v>
      </c>
      <c r="L280" s="6">
        <f>INDEX(products!$A$1:$G$49, MATCH(orders!$D280, products!$A$1:$A$49, 0), MATCH(orders!L$1, products!$A$1:$G$1, 0))</f>
        <v>3.8849999999999998</v>
      </c>
      <c r="M280" s="6">
        <f t="shared" si="13"/>
        <v>7.77</v>
      </c>
      <c r="N280" t="str">
        <f t="shared" si="14"/>
        <v>Arabica</v>
      </c>
      <c r="O280" t="str">
        <f t="shared" si="12"/>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_xlfn.XLOOKUP(C281,customers!$A$2:$A$1001,customers!$B$2:$B$1001,,0)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 MATCH(orders!$D281, products!$A$1:$A$49, 0), MATCH(orders!I$1, products!$A$1:$G$1, 0))</f>
        <v>Lib</v>
      </c>
      <c r="J281" t="str">
        <f>INDEX(products!$A$1:$G$49, MATCH(orders!$D281, products!$A$1:$A$49, 0), MATCH(orders!J$1, products!$A$1:$G$1, 0))</f>
        <v>M</v>
      </c>
      <c r="K281" s="5">
        <f>INDEX(products!$A$1:$G$49, MATCH(orders!$D281, products!$A$1:$A$49, 0), MATCH(orders!K$1, products!$A$1:$G$1, 0))</f>
        <v>2.5</v>
      </c>
      <c r="L281" s="6">
        <f>INDEX(products!$A$1:$G$49, MATCH(orders!$D281, products!$A$1:$A$49, 0), MATCH(orders!L$1, products!$A$1:$G$1, 0))</f>
        <v>33.464999999999996</v>
      </c>
      <c r="M281" s="6">
        <f t="shared" si="13"/>
        <v>33.464999999999996</v>
      </c>
      <c r="N281" t="str">
        <f t="shared" si="14"/>
        <v>Liberica</v>
      </c>
      <c r="O281" t="str">
        <f t="shared" si="12"/>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_xlfn.XLOOKUP(C282,customers!$A$2:$A$1001,customers!$B$2:$B$1001,,0)</f>
        <v>Christopher Grieveson</v>
      </c>
      <c r="G282" s="2" t="str">
        <f>IF(_xlfn.XLOOKUP(C282,customers!$A$1:$A$1001,customers!$C$1:$C$1001,,0)=0,"",_xlfn.XLOOKUP(C282,customers!$A$1:$A$1001,customers!$C$1:$C$1001,,0))</f>
        <v/>
      </c>
      <c r="H282" s="2" t="str">
        <f>_xlfn.XLOOKUP(C282,customers!$A$1:$A$1001,customers!$G$1:$G$1001,,0)</f>
        <v>United States</v>
      </c>
      <c r="I282" t="str">
        <f>INDEX(products!$A$1:$G$49, MATCH(orders!$D282, products!$A$1:$A$49, 0), MATCH(orders!I$1, products!$A$1:$G$1, 0))</f>
        <v>Exc</v>
      </c>
      <c r="J282" t="str">
        <f>INDEX(products!$A$1:$G$49, MATCH(orders!$D282, products!$A$1:$A$49, 0), MATCH(orders!J$1, products!$A$1:$G$1, 0))</f>
        <v>M</v>
      </c>
      <c r="K282" s="5">
        <f>INDEX(products!$A$1:$G$49, MATCH(orders!$D282, products!$A$1:$A$49, 0), MATCH(orders!K$1, products!$A$1:$G$1, 0))</f>
        <v>0.5</v>
      </c>
      <c r="L282" s="6">
        <f>INDEX(products!$A$1:$G$49, MATCH(orders!$D282, products!$A$1:$A$49, 0), MATCH(orders!L$1, products!$A$1:$G$1, 0))</f>
        <v>8.25</v>
      </c>
      <c r="M282" s="6">
        <f t="shared" si="13"/>
        <v>41.25</v>
      </c>
      <c r="N282" t="str">
        <f t="shared" si="14"/>
        <v>Excelsa</v>
      </c>
      <c r="O282" t="str">
        <f t="shared" si="12"/>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_xlfn.XLOOKUP(C283,customers!$A$2:$A$1001,customers!$B$2:$B$1001,,0)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 MATCH(orders!$D283, products!$A$1:$A$49, 0), MATCH(orders!I$1, products!$A$1:$G$1, 0))</f>
        <v>Exc</v>
      </c>
      <c r="J283" t="str">
        <f>INDEX(products!$A$1:$G$49, MATCH(orders!$D283, products!$A$1:$A$49, 0), MATCH(orders!J$1, products!$A$1:$G$1, 0))</f>
        <v>L</v>
      </c>
      <c r="K283" s="5">
        <f>INDEX(products!$A$1:$G$49, MATCH(orders!$D283, products!$A$1:$A$49, 0), MATCH(orders!K$1, products!$A$1:$G$1, 0))</f>
        <v>1</v>
      </c>
      <c r="L283" s="6">
        <f>INDEX(products!$A$1:$G$49, MATCH(orders!$D283, products!$A$1:$A$49, 0), MATCH(orders!L$1, products!$A$1:$G$1, 0))</f>
        <v>14.85</v>
      </c>
      <c r="M283" s="6">
        <f t="shared" si="13"/>
        <v>59.4</v>
      </c>
      <c r="N283" t="str">
        <f t="shared" si="14"/>
        <v>Excelsa</v>
      </c>
      <c r="O283" t="str">
        <f t="shared" si="12"/>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_xlfn.XLOOKUP(C284,customers!$A$2:$A$1001,customers!$B$2:$B$1001,,0)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 MATCH(orders!$D284, products!$A$1:$A$49, 0), MATCH(orders!I$1, products!$A$1:$G$1, 0))</f>
        <v>Ara</v>
      </c>
      <c r="J284" t="str">
        <f>INDEX(products!$A$1:$G$49, MATCH(orders!$D284, products!$A$1:$A$49, 0), MATCH(orders!J$1, products!$A$1:$G$1, 0))</f>
        <v>L</v>
      </c>
      <c r="K284" s="5">
        <f>INDEX(products!$A$1:$G$49, MATCH(orders!$D284, products!$A$1:$A$49, 0), MATCH(orders!K$1, products!$A$1:$G$1, 0))</f>
        <v>0.5</v>
      </c>
      <c r="L284" s="6">
        <f>INDEX(products!$A$1:$G$49, MATCH(orders!$D284, products!$A$1:$A$49, 0), MATCH(orders!L$1, products!$A$1:$G$1, 0))</f>
        <v>7.77</v>
      </c>
      <c r="M284" s="6">
        <f t="shared" si="13"/>
        <v>7.77</v>
      </c>
      <c r="N284" t="str">
        <f t="shared" si="14"/>
        <v>Arabica</v>
      </c>
      <c r="O284" t="str">
        <f t="shared" si="12"/>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_xlfn.XLOOKUP(C285,customers!$A$2:$A$1001,customers!$B$2:$B$1001,,0)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 MATCH(orders!$D285, products!$A$1:$A$49, 0), MATCH(orders!I$1, products!$A$1:$G$1, 0))</f>
        <v>Rob</v>
      </c>
      <c r="J285" t="str">
        <f>INDEX(products!$A$1:$G$49, MATCH(orders!$D285, products!$A$1:$A$49, 0), MATCH(orders!J$1, products!$A$1:$G$1, 0))</f>
        <v>D</v>
      </c>
      <c r="K285" s="5">
        <f>INDEX(products!$A$1:$G$49, MATCH(orders!$D285, products!$A$1:$A$49, 0), MATCH(orders!K$1, products!$A$1:$G$1, 0))</f>
        <v>0.5</v>
      </c>
      <c r="L285" s="6">
        <f>INDEX(products!$A$1:$G$49, MATCH(orders!$D285, products!$A$1:$A$49, 0), MATCH(orders!L$1, products!$A$1:$G$1, 0))</f>
        <v>5.3699999999999992</v>
      </c>
      <c r="M285" s="6">
        <f t="shared" si="13"/>
        <v>5.3699999999999992</v>
      </c>
      <c r="N285" t="str">
        <f t="shared" si="14"/>
        <v>Robusta</v>
      </c>
      <c r="O285" t="str">
        <f t="shared" si="12"/>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_xlfn.XLOOKUP(C286,customers!$A$2:$A$1001,customers!$B$2:$B$1001,,0)</f>
        <v>Nanine McCarthy</v>
      </c>
      <c r="G286" s="2" t="str">
        <f>IF(_xlfn.XLOOKUP(C286,customers!$A$1:$A$1001,customers!$C$1:$C$1001,,0)=0,"",_xlfn.XLOOKUP(C286,customers!$A$1:$A$1001,customers!$C$1:$C$1001,,0))</f>
        <v/>
      </c>
      <c r="H286" s="2" t="str">
        <f>_xlfn.XLOOKUP(C286,customers!$A$1:$A$1001,customers!$G$1:$G$1001,,0)</f>
        <v>United States</v>
      </c>
      <c r="I286" t="str">
        <f>INDEX(products!$A$1:$G$49, MATCH(orders!$D286, products!$A$1:$A$49, 0), MATCH(orders!I$1, products!$A$1:$G$1, 0))</f>
        <v>Exc</v>
      </c>
      <c r="J286" t="str">
        <f>INDEX(products!$A$1:$G$49, MATCH(orders!$D286, products!$A$1:$A$49, 0), MATCH(orders!J$1, products!$A$1:$G$1, 0))</f>
        <v>M</v>
      </c>
      <c r="K286" s="5">
        <f>INDEX(products!$A$1:$G$49, MATCH(orders!$D286, products!$A$1:$A$49, 0), MATCH(orders!K$1, products!$A$1:$G$1, 0))</f>
        <v>2.5</v>
      </c>
      <c r="L286" s="6">
        <f>INDEX(products!$A$1:$G$49, MATCH(orders!$D286, products!$A$1:$A$49, 0), MATCH(orders!L$1, products!$A$1:$G$1, 0))</f>
        <v>31.624999999999996</v>
      </c>
      <c r="M286" s="6">
        <f t="shared" si="13"/>
        <v>94.874999999999986</v>
      </c>
      <c r="N286" t="str">
        <f t="shared" si="14"/>
        <v>Excelsa</v>
      </c>
      <c r="O286" t="str">
        <f t="shared" si="12"/>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_xlfn.XLOOKUP(C287,customers!$A$2:$A$1001,customers!$B$2:$B$1001,,0)</f>
        <v>Lyndsey Megany</v>
      </c>
      <c r="G287" s="2" t="str">
        <f>IF(_xlfn.XLOOKUP(C287,customers!$A$1:$A$1001,customers!$C$1:$C$1001,,0)=0,"",_xlfn.XLOOKUP(C287,customers!$A$1:$A$1001,customers!$C$1:$C$1001,,0))</f>
        <v/>
      </c>
      <c r="H287" s="2" t="str">
        <f>_xlfn.XLOOKUP(C287,customers!$A$1:$A$1001,customers!$G$1:$G$1001,,0)</f>
        <v>United States</v>
      </c>
      <c r="I287" t="str">
        <f>INDEX(products!$A$1:$G$49, MATCH(orders!$D287, products!$A$1:$A$49, 0), MATCH(orders!I$1, products!$A$1:$G$1, 0))</f>
        <v>Lib</v>
      </c>
      <c r="J287" t="str">
        <f>INDEX(products!$A$1:$G$49, MATCH(orders!$D287, products!$A$1:$A$49, 0), MATCH(orders!J$1, products!$A$1:$G$1, 0))</f>
        <v>L</v>
      </c>
      <c r="K287" s="5">
        <f>INDEX(products!$A$1:$G$49, MATCH(orders!$D287, products!$A$1:$A$49, 0), MATCH(orders!K$1, products!$A$1:$G$1, 0))</f>
        <v>2.5</v>
      </c>
      <c r="L287" s="6">
        <f>INDEX(products!$A$1:$G$49, MATCH(orders!$D287, products!$A$1:$A$49, 0), MATCH(orders!L$1, products!$A$1:$G$1, 0))</f>
        <v>36.454999999999998</v>
      </c>
      <c r="M287" s="6">
        <f t="shared" si="13"/>
        <v>36.454999999999998</v>
      </c>
      <c r="N287" t="str">
        <f t="shared" si="14"/>
        <v>Liberica</v>
      </c>
      <c r="O287" t="str">
        <f t="shared" si="12"/>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_xlfn.XLOOKUP(C288,customers!$A$2:$A$1001,customers!$B$2:$B$1001,,0)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 MATCH(orders!$D288, products!$A$1:$A$49, 0), MATCH(orders!I$1, products!$A$1:$G$1, 0))</f>
        <v>Ara</v>
      </c>
      <c r="J288" t="str">
        <f>INDEX(products!$A$1:$G$49, MATCH(orders!$D288, products!$A$1:$A$49, 0), MATCH(orders!J$1, products!$A$1:$G$1, 0))</f>
        <v>M</v>
      </c>
      <c r="K288" s="5">
        <f>INDEX(products!$A$1:$G$49, MATCH(orders!$D288, products!$A$1:$A$49, 0), MATCH(orders!K$1, products!$A$1:$G$1, 0))</f>
        <v>0.2</v>
      </c>
      <c r="L288" s="6">
        <f>INDEX(products!$A$1:$G$49, MATCH(orders!$D288, products!$A$1:$A$49, 0), MATCH(orders!L$1, products!$A$1:$G$1, 0))</f>
        <v>3.375</v>
      </c>
      <c r="M288" s="6">
        <f t="shared" si="13"/>
        <v>13.5</v>
      </c>
      <c r="N288" t="str">
        <f t="shared" si="14"/>
        <v>Arabica</v>
      </c>
      <c r="O288" t="str">
        <f t="shared" si="12"/>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_xlfn.XLOOKUP(C289,customers!$A$2:$A$1001,customers!$B$2:$B$1001,,0)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 MATCH(orders!$D289, products!$A$1:$A$49, 0), MATCH(orders!I$1, products!$A$1:$G$1, 0))</f>
        <v>Rob</v>
      </c>
      <c r="J289" t="str">
        <f>INDEX(products!$A$1:$G$49, MATCH(orders!$D289, products!$A$1:$A$49, 0), MATCH(orders!J$1, products!$A$1:$G$1, 0))</f>
        <v>L</v>
      </c>
      <c r="K289" s="5">
        <f>INDEX(products!$A$1:$G$49, MATCH(orders!$D289, products!$A$1:$A$49, 0), MATCH(orders!K$1, products!$A$1:$G$1, 0))</f>
        <v>0.2</v>
      </c>
      <c r="L289" s="6">
        <f>INDEX(products!$A$1:$G$49, MATCH(orders!$D289, products!$A$1:$A$49, 0), MATCH(orders!L$1, products!$A$1:$G$1, 0))</f>
        <v>3.5849999999999995</v>
      </c>
      <c r="M289" s="6">
        <f t="shared" si="13"/>
        <v>14.339999999999998</v>
      </c>
      <c r="N289" t="str">
        <f t="shared" si="14"/>
        <v>Robusta</v>
      </c>
      <c r="O289" t="str">
        <f t="shared" si="12"/>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_xlfn.XLOOKUP(C290,customers!$A$2:$A$1001,customers!$B$2:$B$1001,,0)</f>
        <v>Mathew Goulter</v>
      </c>
      <c r="G290" s="2" t="str">
        <f>IF(_xlfn.XLOOKUP(C290,customers!$A$1:$A$1001,customers!$C$1:$C$1001,,0)=0,"",_xlfn.XLOOKUP(C290,customers!$A$1:$A$1001,customers!$C$1:$C$1001,,0))</f>
        <v/>
      </c>
      <c r="H290" s="2" t="str">
        <f>_xlfn.XLOOKUP(C290,customers!$A$1:$A$1001,customers!$G$1:$G$1001,,0)</f>
        <v>Ireland</v>
      </c>
      <c r="I290" t="str">
        <f>INDEX(products!$A$1:$G$49, MATCH(orders!$D290, products!$A$1:$A$49, 0), MATCH(orders!I$1, products!$A$1:$G$1, 0))</f>
        <v>Exc</v>
      </c>
      <c r="J290" t="str">
        <f>INDEX(products!$A$1:$G$49, MATCH(orders!$D290, products!$A$1:$A$49, 0), MATCH(orders!J$1, products!$A$1:$G$1, 0))</f>
        <v>M</v>
      </c>
      <c r="K290" s="5">
        <f>INDEX(products!$A$1:$G$49, MATCH(orders!$D290, products!$A$1:$A$49, 0), MATCH(orders!K$1, products!$A$1:$G$1, 0))</f>
        <v>0.5</v>
      </c>
      <c r="L290" s="6">
        <f>INDEX(products!$A$1:$G$49, MATCH(orders!$D290, products!$A$1:$A$49, 0), MATCH(orders!L$1, products!$A$1:$G$1, 0))</f>
        <v>8.25</v>
      </c>
      <c r="M290" s="6">
        <f t="shared" si="13"/>
        <v>8.25</v>
      </c>
      <c r="N290" t="str">
        <f t="shared" si="14"/>
        <v>Excelsa</v>
      </c>
      <c r="O290" t="str">
        <f t="shared" si="12"/>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_xlfn.XLOOKUP(C291,customers!$A$2:$A$1001,customers!$B$2:$B$1001,,0)</f>
        <v>Marris Grcic</v>
      </c>
      <c r="G291" s="2" t="str">
        <f>IF(_xlfn.XLOOKUP(C291,customers!$A$1:$A$1001,customers!$C$1:$C$1001,,0)=0,"",_xlfn.XLOOKUP(C291,customers!$A$1:$A$1001,customers!$C$1:$C$1001,,0))</f>
        <v/>
      </c>
      <c r="H291" s="2" t="str">
        <f>_xlfn.XLOOKUP(C291,customers!$A$1:$A$1001,customers!$G$1:$G$1001,,0)</f>
        <v>United States</v>
      </c>
      <c r="I291" t="str">
        <f>INDEX(products!$A$1:$G$49, MATCH(orders!$D291, products!$A$1:$A$49, 0), MATCH(orders!I$1, products!$A$1:$G$1, 0))</f>
        <v>Rob</v>
      </c>
      <c r="J291" t="str">
        <f>INDEX(products!$A$1:$G$49, MATCH(orders!$D291, products!$A$1:$A$49, 0), MATCH(orders!J$1, products!$A$1:$G$1, 0))</f>
        <v>D</v>
      </c>
      <c r="K291" s="5">
        <f>INDEX(products!$A$1:$G$49, MATCH(orders!$D291, products!$A$1:$A$49, 0), MATCH(orders!K$1, products!$A$1:$G$1, 0))</f>
        <v>0.2</v>
      </c>
      <c r="L291" s="6">
        <f>INDEX(products!$A$1:$G$49, MATCH(orders!$D291, products!$A$1:$A$49, 0), MATCH(orders!L$1, products!$A$1:$G$1, 0))</f>
        <v>2.6849999999999996</v>
      </c>
      <c r="M291" s="6">
        <f t="shared" si="13"/>
        <v>13.424999999999997</v>
      </c>
      <c r="N291" t="str">
        <f t="shared" si="14"/>
        <v>Robusta</v>
      </c>
      <c r="O291" t="str">
        <f t="shared" si="12"/>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_xlfn.XLOOKUP(C292,customers!$A$2:$A$1001,customers!$B$2:$B$1001,,0)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 MATCH(orders!$D292, products!$A$1:$A$49, 0), MATCH(orders!I$1, products!$A$1:$G$1, 0))</f>
        <v>Ara</v>
      </c>
      <c r="J292" t="str">
        <f>INDEX(products!$A$1:$G$49, MATCH(orders!$D292, products!$A$1:$A$49, 0), MATCH(orders!J$1, products!$A$1:$G$1, 0))</f>
        <v>D</v>
      </c>
      <c r="K292" s="5">
        <f>INDEX(products!$A$1:$G$49, MATCH(orders!$D292, products!$A$1:$A$49, 0), MATCH(orders!K$1, products!$A$1:$G$1, 0))</f>
        <v>1</v>
      </c>
      <c r="L292" s="6">
        <f>INDEX(products!$A$1:$G$49, MATCH(orders!$D292, products!$A$1:$A$49, 0), MATCH(orders!L$1, products!$A$1:$G$1, 0))</f>
        <v>9.9499999999999993</v>
      </c>
      <c r="M292" s="6">
        <f t="shared" si="13"/>
        <v>49.75</v>
      </c>
      <c r="N292" t="str">
        <f t="shared" si="14"/>
        <v>Arabica</v>
      </c>
      <c r="O292" t="str">
        <f t="shared" si="12"/>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_xlfn.XLOOKUP(C293,customers!$A$2:$A$1001,customers!$B$2:$B$1001,,0)</f>
        <v>Violante Skouling</v>
      </c>
      <c r="G293" s="2" t="str">
        <f>IF(_xlfn.XLOOKUP(C293,customers!$A$1:$A$1001,customers!$C$1:$C$1001,,0)=0,"",_xlfn.XLOOKUP(C293,customers!$A$1:$A$1001,customers!$C$1:$C$1001,,0))</f>
        <v/>
      </c>
      <c r="H293" s="2" t="str">
        <f>_xlfn.XLOOKUP(C293,customers!$A$1:$A$1001,customers!$G$1:$G$1001,,0)</f>
        <v>Ireland</v>
      </c>
      <c r="I293" t="str">
        <f>INDEX(products!$A$1:$G$49, MATCH(orders!$D293, products!$A$1:$A$49, 0), MATCH(orders!I$1, products!$A$1:$G$1, 0))</f>
        <v>Exc</v>
      </c>
      <c r="J293" t="str">
        <f>INDEX(products!$A$1:$G$49, MATCH(orders!$D293, products!$A$1:$A$49, 0), MATCH(orders!J$1, products!$A$1:$G$1, 0))</f>
        <v>M</v>
      </c>
      <c r="K293" s="5">
        <f>INDEX(products!$A$1:$G$49, MATCH(orders!$D293, products!$A$1:$A$49, 0), MATCH(orders!K$1, products!$A$1:$G$1, 0))</f>
        <v>0.5</v>
      </c>
      <c r="L293" s="6">
        <f>INDEX(products!$A$1:$G$49, MATCH(orders!$D293, products!$A$1:$A$49, 0), MATCH(orders!L$1, products!$A$1:$G$1, 0))</f>
        <v>8.25</v>
      </c>
      <c r="M293" s="6">
        <f t="shared" si="13"/>
        <v>16.5</v>
      </c>
      <c r="N293" t="str">
        <f t="shared" si="14"/>
        <v>Excelsa</v>
      </c>
      <c r="O293" t="str">
        <f t="shared" si="12"/>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_xlfn.XLOOKUP(C294,customers!$A$2:$A$1001,customers!$B$2:$B$1001,,0)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 MATCH(orders!$D294, products!$A$1:$A$49, 0), MATCH(orders!I$1, products!$A$1:$G$1, 0))</f>
        <v>Ara</v>
      </c>
      <c r="J294" t="str">
        <f>INDEX(products!$A$1:$G$49, MATCH(orders!$D294, products!$A$1:$A$49, 0), MATCH(orders!J$1, products!$A$1:$G$1, 0))</f>
        <v>D</v>
      </c>
      <c r="K294" s="5">
        <f>INDEX(products!$A$1:$G$49, MATCH(orders!$D294, products!$A$1:$A$49, 0), MATCH(orders!K$1, products!$A$1:$G$1, 0))</f>
        <v>0.5</v>
      </c>
      <c r="L294" s="6">
        <f>INDEX(products!$A$1:$G$49, MATCH(orders!$D294, products!$A$1:$A$49, 0), MATCH(orders!L$1, products!$A$1:$G$1, 0))</f>
        <v>5.97</v>
      </c>
      <c r="M294" s="6">
        <f t="shared" si="13"/>
        <v>17.91</v>
      </c>
      <c r="N294" t="str">
        <f t="shared" si="14"/>
        <v>Arabica</v>
      </c>
      <c r="O294" t="str">
        <f t="shared" si="12"/>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_xlfn.XLOOKUP(C295,customers!$A$2:$A$1001,customers!$B$2:$B$1001,,0)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 MATCH(orders!$D295, products!$A$1:$A$49, 0), MATCH(orders!I$1, products!$A$1:$G$1, 0))</f>
        <v>Ara</v>
      </c>
      <c r="J295" t="str">
        <f>INDEX(products!$A$1:$G$49, MATCH(orders!$D295, products!$A$1:$A$49, 0), MATCH(orders!J$1, products!$A$1:$G$1, 0))</f>
        <v>D</v>
      </c>
      <c r="K295" s="5">
        <f>INDEX(products!$A$1:$G$49, MATCH(orders!$D295, products!$A$1:$A$49, 0), MATCH(orders!K$1, products!$A$1:$G$1, 0))</f>
        <v>0.5</v>
      </c>
      <c r="L295" s="6">
        <f>INDEX(products!$A$1:$G$49, MATCH(orders!$D295, products!$A$1:$A$49, 0), MATCH(orders!L$1, products!$A$1:$G$1, 0))</f>
        <v>5.97</v>
      </c>
      <c r="M295" s="6">
        <f t="shared" si="13"/>
        <v>29.849999999999998</v>
      </c>
      <c r="N295" t="str">
        <f t="shared" si="14"/>
        <v>Arabica</v>
      </c>
      <c r="O295" t="str">
        <f t="shared" si="12"/>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_xlfn.XLOOKUP(C296,customers!$A$2:$A$1001,customers!$B$2:$B$1001,,0)</f>
        <v>Micki Fero</v>
      </c>
      <c r="G296" s="2" t="str">
        <f>IF(_xlfn.XLOOKUP(C296,customers!$A$1:$A$1001,customers!$C$1:$C$1001,,0)=0,"",_xlfn.XLOOKUP(C296,customers!$A$1:$A$1001,customers!$C$1:$C$1001,,0))</f>
        <v/>
      </c>
      <c r="H296" s="2" t="str">
        <f>_xlfn.XLOOKUP(C296,customers!$A$1:$A$1001,customers!$G$1:$G$1001,,0)</f>
        <v>United States</v>
      </c>
      <c r="I296" t="str">
        <f>INDEX(products!$A$1:$G$49, MATCH(orders!$D296, products!$A$1:$A$49, 0), MATCH(orders!I$1, products!$A$1:$G$1, 0))</f>
        <v>Exc</v>
      </c>
      <c r="J296" t="str">
        <f>INDEX(products!$A$1:$G$49, MATCH(orders!$D296, products!$A$1:$A$49, 0), MATCH(orders!J$1, products!$A$1:$G$1, 0))</f>
        <v>L</v>
      </c>
      <c r="K296" s="5">
        <f>INDEX(products!$A$1:$G$49, MATCH(orders!$D296, products!$A$1:$A$49, 0), MATCH(orders!K$1, products!$A$1:$G$1, 0))</f>
        <v>1</v>
      </c>
      <c r="L296" s="6">
        <f>INDEX(products!$A$1:$G$49, MATCH(orders!$D296, products!$A$1:$A$49, 0), MATCH(orders!L$1, products!$A$1:$G$1, 0))</f>
        <v>14.85</v>
      </c>
      <c r="M296" s="6">
        <f t="shared" si="13"/>
        <v>44.55</v>
      </c>
      <c r="N296" t="str">
        <f t="shared" si="14"/>
        <v>Excelsa</v>
      </c>
      <c r="O296" t="str">
        <f t="shared" si="12"/>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_xlfn.XLOOKUP(C297,customers!$A$2:$A$1001,customers!$B$2:$B$1001,,0)</f>
        <v>Cybill Graddell</v>
      </c>
      <c r="G297" s="2" t="str">
        <f>IF(_xlfn.XLOOKUP(C297,customers!$A$1:$A$1001,customers!$C$1:$C$1001,,0)=0,"",_xlfn.XLOOKUP(C297,customers!$A$1:$A$1001,customers!$C$1:$C$1001,,0))</f>
        <v/>
      </c>
      <c r="H297" s="2" t="str">
        <f>_xlfn.XLOOKUP(C297,customers!$A$1:$A$1001,customers!$G$1:$G$1001,,0)</f>
        <v>United States</v>
      </c>
      <c r="I297" t="str">
        <f>INDEX(products!$A$1:$G$49, MATCH(orders!$D297, products!$A$1:$A$49, 0), MATCH(orders!I$1, products!$A$1:$G$1, 0))</f>
        <v>Exc</v>
      </c>
      <c r="J297" t="str">
        <f>INDEX(products!$A$1:$G$49, MATCH(orders!$D297, products!$A$1:$A$49, 0), MATCH(orders!J$1, products!$A$1:$G$1, 0))</f>
        <v>M</v>
      </c>
      <c r="K297" s="5">
        <f>INDEX(products!$A$1:$G$49, MATCH(orders!$D297, products!$A$1:$A$49, 0), MATCH(orders!K$1, products!$A$1:$G$1, 0))</f>
        <v>1</v>
      </c>
      <c r="L297" s="6">
        <f>INDEX(products!$A$1:$G$49, MATCH(orders!$D297, products!$A$1:$A$49, 0), MATCH(orders!L$1, products!$A$1:$G$1, 0))</f>
        <v>13.75</v>
      </c>
      <c r="M297" s="6">
        <f t="shared" si="13"/>
        <v>27.5</v>
      </c>
      <c r="N297" t="str">
        <f t="shared" si="14"/>
        <v>Excelsa</v>
      </c>
      <c r="O297" t="str">
        <f t="shared" si="12"/>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_xlfn.XLOOKUP(C298,customers!$A$2:$A$1001,customers!$B$2:$B$1001,,0)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 MATCH(orders!$D298, products!$A$1:$A$49, 0), MATCH(orders!I$1, products!$A$1:$G$1, 0))</f>
        <v>Rob</v>
      </c>
      <c r="J298" t="str">
        <f>INDEX(products!$A$1:$G$49, MATCH(orders!$D298, products!$A$1:$A$49, 0), MATCH(orders!J$1, products!$A$1:$G$1, 0))</f>
        <v>M</v>
      </c>
      <c r="K298" s="5">
        <f>INDEX(products!$A$1:$G$49, MATCH(orders!$D298, products!$A$1:$A$49, 0), MATCH(orders!K$1, products!$A$1:$G$1, 0))</f>
        <v>0.5</v>
      </c>
      <c r="L298" s="6">
        <f>INDEX(products!$A$1:$G$49, MATCH(orders!$D298, products!$A$1:$A$49, 0), MATCH(orders!L$1, products!$A$1:$G$1, 0))</f>
        <v>5.97</v>
      </c>
      <c r="M298" s="6">
        <f t="shared" si="13"/>
        <v>35.82</v>
      </c>
      <c r="N298" t="str">
        <f t="shared" si="14"/>
        <v>Robusta</v>
      </c>
      <c r="O298" t="str">
        <f t="shared" si="12"/>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_xlfn.XLOOKUP(C299,customers!$A$2:$A$1001,customers!$B$2:$B$1001,,0)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 MATCH(orders!$D299, products!$A$1:$A$49, 0), MATCH(orders!I$1, products!$A$1:$G$1, 0))</f>
        <v>Rob</v>
      </c>
      <c r="J299" t="str">
        <f>INDEX(products!$A$1:$G$49, MATCH(orders!$D299, products!$A$1:$A$49, 0), MATCH(orders!J$1, products!$A$1:$G$1, 0))</f>
        <v>D</v>
      </c>
      <c r="K299" s="5">
        <f>INDEX(products!$A$1:$G$49, MATCH(orders!$D299, products!$A$1:$A$49, 0), MATCH(orders!K$1, products!$A$1:$G$1, 0))</f>
        <v>0.5</v>
      </c>
      <c r="L299" s="6">
        <f>INDEX(products!$A$1:$G$49, MATCH(orders!$D299, products!$A$1:$A$49, 0), MATCH(orders!L$1, products!$A$1:$G$1, 0))</f>
        <v>5.3699999999999992</v>
      </c>
      <c r="M299" s="6">
        <f t="shared" si="13"/>
        <v>16.11</v>
      </c>
      <c r="N299" t="str">
        <f t="shared" si="14"/>
        <v>Robusta</v>
      </c>
      <c r="O299" t="str">
        <f t="shared" si="12"/>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_xlfn.XLOOKUP(C300,customers!$A$2:$A$1001,customers!$B$2:$B$1001,,0)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 MATCH(orders!$D300, products!$A$1:$A$49, 0), MATCH(orders!I$1, products!$A$1:$G$1, 0))</f>
        <v>Exc</v>
      </c>
      <c r="J300" t="str">
        <f>INDEX(products!$A$1:$G$49, MATCH(orders!$D300, products!$A$1:$A$49, 0), MATCH(orders!J$1, products!$A$1:$G$1, 0))</f>
        <v>L</v>
      </c>
      <c r="K300" s="5">
        <f>INDEX(products!$A$1:$G$49, MATCH(orders!$D300, products!$A$1:$A$49, 0), MATCH(orders!K$1, products!$A$1:$G$1, 0))</f>
        <v>0.2</v>
      </c>
      <c r="L300" s="6">
        <f>INDEX(products!$A$1:$G$49, MATCH(orders!$D300, products!$A$1:$A$49, 0), MATCH(orders!L$1, products!$A$1:$G$1, 0))</f>
        <v>4.4550000000000001</v>
      </c>
      <c r="M300" s="6">
        <f t="shared" si="13"/>
        <v>26.73</v>
      </c>
      <c r="N300" t="str">
        <f t="shared" si="14"/>
        <v>Excelsa</v>
      </c>
      <c r="O300" t="str">
        <f t="shared" si="12"/>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_xlfn.XLOOKUP(C301,customers!$A$2:$A$1001,customers!$B$2:$B$1001,,0)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 MATCH(orders!$D301, products!$A$1:$A$49, 0), MATCH(orders!I$1, products!$A$1:$G$1, 0))</f>
        <v>Exc</v>
      </c>
      <c r="J301" t="str">
        <f>INDEX(products!$A$1:$G$49, MATCH(orders!$D301, products!$A$1:$A$49, 0), MATCH(orders!J$1, products!$A$1:$G$1, 0))</f>
        <v>L</v>
      </c>
      <c r="K301" s="5">
        <f>INDEX(products!$A$1:$G$49, MATCH(orders!$D301, products!$A$1:$A$49, 0), MATCH(orders!K$1, products!$A$1:$G$1, 0))</f>
        <v>2.5</v>
      </c>
      <c r="L301" s="6">
        <f>INDEX(products!$A$1:$G$49, MATCH(orders!$D301, products!$A$1:$A$49, 0), MATCH(orders!L$1, products!$A$1:$G$1, 0))</f>
        <v>34.154999999999994</v>
      </c>
      <c r="M301" s="6">
        <f t="shared" si="13"/>
        <v>204.92999999999995</v>
      </c>
      <c r="N301" t="str">
        <f t="shared" si="14"/>
        <v>Excelsa</v>
      </c>
      <c r="O301" t="str">
        <f t="shared" si="12"/>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_xlfn.XLOOKUP(C302,customers!$A$2:$A$1001,customers!$B$2:$B$1001,,0)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 MATCH(orders!$D302, products!$A$1:$A$49, 0), MATCH(orders!I$1, products!$A$1:$G$1, 0))</f>
        <v>Ara</v>
      </c>
      <c r="J302" t="str">
        <f>INDEX(products!$A$1:$G$49, MATCH(orders!$D302, products!$A$1:$A$49, 0), MATCH(orders!J$1, products!$A$1:$G$1, 0))</f>
        <v>L</v>
      </c>
      <c r="K302" s="5">
        <f>INDEX(products!$A$1:$G$49, MATCH(orders!$D302, products!$A$1:$A$49, 0), MATCH(orders!K$1, products!$A$1:$G$1, 0))</f>
        <v>1</v>
      </c>
      <c r="L302" s="6">
        <f>INDEX(products!$A$1:$G$49, MATCH(orders!$D302, products!$A$1:$A$49, 0), MATCH(orders!L$1, products!$A$1:$G$1, 0))</f>
        <v>12.95</v>
      </c>
      <c r="M302" s="6">
        <f t="shared" si="13"/>
        <v>38.849999999999994</v>
      </c>
      <c r="N302" t="str">
        <f t="shared" si="14"/>
        <v>Arabica</v>
      </c>
      <c r="O302" t="str">
        <f t="shared" si="12"/>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_xlfn.XLOOKUP(C303,customers!$A$2:$A$1001,customers!$B$2:$B$1001,,0)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 MATCH(orders!$D303, products!$A$1:$A$49, 0), MATCH(orders!I$1, products!$A$1:$G$1, 0))</f>
        <v>Lib</v>
      </c>
      <c r="J303" t="str">
        <f>INDEX(products!$A$1:$G$49, MATCH(orders!$D303, products!$A$1:$A$49, 0), MATCH(orders!J$1, products!$A$1:$G$1, 0))</f>
        <v>D</v>
      </c>
      <c r="K303" s="5">
        <f>INDEX(products!$A$1:$G$49, MATCH(orders!$D303, products!$A$1:$A$49, 0), MATCH(orders!K$1, products!$A$1:$G$1, 0))</f>
        <v>0.2</v>
      </c>
      <c r="L303" s="6">
        <f>INDEX(products!$A$1:$G$49, MATCH(orders!$D303, products!$A$1:$A$49, 0), MATCH(orders!L$1, products!$A$1:$G$1, 0))</f>
        <v>3.8849999999999998</v>
      </c>
      <c r="M303" s="6">
        <f t="shared" si="13"/>
        <v>15.54</v>
      </c>
      <c r="N303" t="str">
        <f t="shared" si="14"/>
        <v>Liberica</v>
      </c>
      <c r="O303" t="str">
        <f t="shared" si="12"/>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_xlfn.XLOOKUP(C304,customers!$A$2:$A$1001,customers!$B$2:$B$1001,,0)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 MATCH(orders!$D304, products!$A$1:$A$49, 0), MATCH(orders!I$1, products!$A$1:$G$1, 0))</f>
        <v>Ara</v>
      </c>
      <c r="J304" t="str">
        <f>INDEX(products!$A$1:$G$49, MATCH(orders!$D304, products!$A$1:$A$49, 0), MATCH(orders!J$1, products!$A$1:$G$1, 0))</f>
        <v>M</v>
      </c>
      <c r="K304" s="5">
        <f>INDEX(products!$A$1:$G$49, MATCH(orders!$D304, products!$A$1:$A$49, 0), MATCH(orders!K$1, products!$A$1:$G$1, 0))</f>
        <v>0.5</v>
      </c>
      <c r="L304" s="6">
        <f>INDEX(products!$A$1:$G$49, MATCH(orders!$D304, products!$A$1:$A$49, 0), MATCH(orders!L$1, products!$A$1:$G$1, 0))</f>
        <v>6.75</v>
      </c>
      <c r="M304" s="6">
        <f t="shared" si="13"/>
        <v>6.75</v>
      </c>
      <c r="N304" t="str">
        <f t="shared" si="14"/>
        <v>Arabica</v>
      </c>
      <c r="O304" t="str">
        <f t="shared" si="12"/>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_xlfn.XLOOKUP(C305,customers!$A$2:$A$1001,customers!$B$2:$B$1001,,0)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 MATCH(orders!$D305, products!$A$1:$A$49, 0), MATCH(orders!I$1, products!$A$1:$G$1, 0))</f>
        <v>Exc</v>
      </c>
      <c r="J305" t="str">
        <f>INDEX(products!$A$1:$G$49, MATCH(orders!$D305, products!$A$1:$A$49, 0), MATCH(orders!J$1, products!$A$1:$G$1, 0))</f>
        <v>D</v>
      </c>
      <c r="K305" s="5">
        <f>INDEX(products!$A$1:$G$49, MATCH(orders!$D305, products!$A$1:$A$49, 0), MATCH(orders!K$1, products!$A$1:$G$1, 0))</f>
        <v>2.5</v>
      </c>
      <c r="L305" s="6">
        <f>INDEX(products!$A$1:$G$49, MATCH(orders!$D305, products!$A$1:$A$49, 0), MATCH(orders!L$1, products!$A$1:$G$1, 0))</f>
        <v>27.945</v>
      </c>
      <c r="M305" s="6">
        <f t="shared" si="13"/>
        <v>111.78</v>
      </c>
      <c r="N305" t="str">
        <f t="shared" si="14"/>
        <v>Excelsa</v>
      </c>
      <c r="O305" t="str">
        <f t="shared" si="12"/>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_xlfn.XLOOKUP(C306,customers!$A$2:$A$1001,customers!$B$2:$B$1001,,0)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 MATCH(orders!$D306, products!$A$1:$A$49, 0), MATCH(orders!I$1, products!$A$1:$G$1, 0))</f>
        <v>Ara</v>
      </c>
      <c r="J306" t="str">
        <f>INDEX(products!$A$1:$G$49, MATCH(orders!$D306, products!$A$1:$A$49, 0), MATCH(orders!J$1, products!$A$1:$G$1, 0))</f>
        <v>L</v>
      </c>
      <c r="K306" s="5">
        <f>INDEX(products!$A$1:$G$49, MATCH(orders!$D306, products!$A$1:$A$49, 0), MATCH(orders!K$1, products!$A$1:$G$1, 0))</f>
        <v>0.2</v>
      </c>
      <c r="L306" s="6">
        <f>INDEX(products!$A$1:$G$49, MATCH(orders!$D306, products!$A$1:$A$49, 0), MATCH(orders!L$1, products!$A$1:$G$1, 0))</f>
        <v>3.8849999999999998</v>
      </c>
      <c r="M306" s="6">
        <f t="shared" si="13"/>
        <v>3.8849999999999998</v>
      </c>
      <c r="N306" t="str">
        <f t="shared" si="14"/>
        <v>Arabica</v>
      </c>
      <c r="O306" t="str">
        <f t="shared" si="12"/>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_xlfn.XLOOKUP(C307,customers!$A$2:$A$1001,customers!$B$2:$B$1001,,0)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 MATCH(orders!$D307, products!$A$1:$A$49, 0), MATCH(orders!I$1, products!$A$1:$G$1, 0))</f>
        <v>Lib</v>
      </c>
      <c r="J307" t="str">
        <f>INDEX(products!$A$1:$G$49, MATCH(orders!$D307, products!$A$1:$A$49, 0), MATCH(orders!J$1, products!$A$1:$G$1, 0))</f>
        <v>M</v>
      </c>
      <c r="K307" s="5">
        <f>INDEX(products!$A$1:$G$49, MATCH(orders!$D307, products!$A$1:$A$49, 0), MATCH(orders!K$1, products!$A$1:$G$1, 0))</f>
        <v>0.2</v>
      </c>
      <c r="L307" s="6">
        <f>INDEX(products!$A$1:$G$49, MATCH(orders!$D307, products!$A$1:$A$49, 0), MATCH(orders!L$1, products!$A$1:$G$1, 0))</f>
        <v>4.3650000000000002</v>
      </c>
      <c r="M307" s="6">
        <f t="shared" si="13"/>
        <v>21.825000000000003</v>
      </c>
      <c r="N307" t="str">
        <f t="shared" si="14"/>
        <v>Liberica</v>
      </c>
      <c r="O307" t="str">
        <f t="shared" si="12"/>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_xlfn.XLOOKUP(C308,customers!$A$2:$A$1001,customers!$B$2:$B$1001,,0)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 MATCH(orders!$D308, products!$A$1:$A$49, 0), MATCH(orders!I$1, products!$A$1:$G$1, 0))</f>
        <v>Rob</v>
      </c>
      <c r="J308" t="str">
        <f>INDEX(products!$A$1:$G$49, MATCH(orders!$D308, products!$A$1:$A$49, 0), MATCH(orders!J$1, products!$A$1:$G$1, 0))</f>
        <v>M</v>
      </c>
      <c r="K308" s="5">
        <f>INDEX(products!$A$1:$G$49, MATCH(orders!$D308, products!$A$1:$A$49, 0), MATCH(orders!K$1, products!$A$1:$G$1, 0))</f>
        <v>0.2</v>
      </c>
      <c r="L308" s="6">
        <f>INDEX(products!$A$1:$G$49, MATCH(orders!$D308, products!$A$1:$A$49, 0), MATCH(orders!L$1, products!$A$1:$G$1, 0))</f>
        <v>2.9849999999999999</v>
      </c>
      <c r="M308" s="6">
        <f t="shared" si="13"/>
        <v>14.924999999999999</v>
      </c>
      <c r="N308" t="str">
        <f t="shared" si="14"/>
        <v>Robusta</v>
      </c>
      <c r="O308" t="str">
        <f t="shared" si="12"/>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_xlfn.XLOOKUP(C309,customers!$A$2:$A$1001,customers!$B$2:$B$1001,,0)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 MATCH(orders!$D309, products!$A$1:$A$49, 0), MATCH(orders!I$1, products!$A$1:$G$1, 0))</f>
        <v>Ara</v>
      </c>
      <c r="J309" t="str">
        <f>INDEX(products!$A$1:$G$49, MATCH(orders!$D309, products!$A$1:$A$49, 0), MATCH(orders!J$1, products!$A$1:$G$1, 0))</f>
        <v>M</v>
      </c>
      <c r="K309" s="5">
        <f>INDEX(products!$A$1:$G$49, MATCH(orders!$D309, products!$A$1:$A$49, 0), MATCH(orders!K$1, products!$A$1:$G$1, 0))</f>
        <v>1</v>
      </c>
      <c r="L309" s="6">
        <f>INDEX(products!$A$1:$G$49, MATCH(orders!$D309, products!$A$1:$A$49, 0), MATCH(orders!L$1, products!$A$1:$G$1, 0))</f>
        <v>11.25</v>
      </c>
      <c r="M309" s="6">
        <f t="shared" si="13"/>
        <v>33.75</v>
      </c>
      <c r="N309" t="str">
        <f t="shared" si="14"/>
        <v>Arabica</v>
      </c>
      <c r="O309" t="str">
        <f t="shared" si="12"/>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_xlfn.XLOOKUP(C310,customers!$A$2:$A$1001,customers!$B$2:$B$1001,,0)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 MATCH(orders!$D310, products!$A$1:$A$49, 0), MATCH(orders!I$1, products!$A$1:$G$1, 0))</f>
        <v>Ara</v>
      </c>
      <c r="J310" t="str">
        <f>INDEX(products!$A$1:$G$49, MATCH(orders!$D310, products!$A$1:$A$49, 0), MATCH(orders!J$1, products!$A$1:$G$1, 0))</f>
        <v>M</v>
      </c>
      <c r="K310" s="5">
        <f>INDEX(products!$A$1:$G$49, MATCH(orders!$D310, products!$A$1:$A$49, 0), MATCH(orders!K$1, products!$A$1:$G$1, 0))</f>
        <v>1</v>
      </c>
      <c r="L310" s="6">
        <f>INDEX(products!$A$1:$G$49, MATCH(orders!$D310, products!$A$1:$A$49, 0), MATCH(orders!L$1, products!$A$1:$G$1, 0))</f>
        <v>11.25</v>
      </c>
      <c r="M310" s="6">
        <f t="shared" si="13"/>
        <v>33.75</v>
      </c>
      <c r="N310" t="str">
        <f t="shared" si="14"/>
        <v>Arabica</v>
      </c>
      <c r="O310" t="str">
        <f t="shared" si="12"/>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_xlfn.XLOOKUP(C311,customers!$A$2:$A$1001,customers!$B$2:$B$1001,,0)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 MATCH(orders!$D311, products!$A$1:$A$49, 0), MATCH(orders!I$1, products!$A$1:$G$1, 0))</f>
        <v>Lib</v>
      </c>
      <c r="J311" t="str">
        <f>INDEX(products!$A$1:$G$49, MATCH(orders!$D311, products!$A$1:$A$49, 0), MATCH(orders!J$1, products!$A$1:$G$1, 0))</f>
        <v>M</v>
      </c>
      <c r="K311" s="5">
        <f>INDEX(products!$A$1:$G$49, MATCH(orders!$D311, products!$A$1:$A$49, 0), MATCH(orders!K$1, products!$A$1:$G$1, 0))</f>
        <v>0.2</v>
      </c>
      <c r="L311" s="6">
        <f>INDEX(products!$A$1:$G$49, MATCH(orders!$D311, products!$A$1:$A$49, 0), MATCH(orders!L$1, products!$A$1:$G$1, 0))</f>
        <v>4.3650000000000002</v>
      </c>
      <c r="M311" s="6">
        <f t="shared" si="13"/>
        <v>26.19</v>
      </c>
      <c r="N311" t="str">
        <f t="shared" si="14"/>
        <v>Liberica</v>
      </c>
      <c r="O311" t="str">
        <f t="shared" si="12"/>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_xlfn.XLOOKUP(C312,customers!$A$2:$A$1001,customers!$B$2:$B$1001,,0)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 MATCH(orders!$D312, products!$A$1:$A$49, 0), MATCH(orders!I$1, products!$A$1:$G$1, 0))</f>
        <v>Exc</v>
      </c>
      <c r="J312" t="str">
        <f>INDEX(products!$A$1:$G$49, MATCH(orders!$D312, products!$A$1:$A$49, 0), MATCH(orders!J$1, products!$A$1:$G$1, 0))</f>
        <v>L</v>
      </c>
      <c r="K312" s="5">
        <f>INDEX(products!$A$1:$G$49, MATCH(orders!$D312, products!$A$1:$A$49, 0), MATCH(orders!K$1, products!$A$1:$G$1, 0))</f>
        <v>1</v>
      </c>
      <c r="L312" s="6">
        <f>INDEX(products!$A$1:$G$49, MATCH(orders!$D312, products!$A$1:$A$49, 0), MATCH(orders!L$1, products!$A$1:$G$1, 0))</f>
        <v>14.85</v>
      </c>
      <c r="M312" s="6">
        <f t="shared" si="13"/>
        <v>14.85</v>
      </c>
      <c r="N312" t="str">
        <f t="shared" si="14"/>
        <v>Excelsa</v>
      </c>
      <c r="O312" t="str">
        <f t="shared" si="12"/>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_xlfn.XLOOKUP(C313,customers!$A$2:$A$1001,customers!$B$2:$B$1001,,0)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 MATCH(orders!$D313, products!$A$1:$A$49, 0), MATCH(orders!I$1, products!$A$1:$G$1, 0))</f>
        <v>Exc</v>
      </c>
      <c r="J313" t="str">
        <f>INDEX(products!$A$1:$G$49, MATCH(orders!$D313, products!$A$1:$A$49, 0), MATCH(orders!J$1, products!$A$1:$G$1, 0))</f>
        <v>M</v>
      </c>
      <c r="K313" s="5">
        <f>INDEX(products!$A$1:$G$49, MATCH(orders!$D313, products!$A$1:$A$49, 0), MATCH(orders!K$1, products!$A$1:$G$1, 0))</f>
        <v>2.5</v>
      </c>
      <c r="L313" s="6">
        <f>INDEX(products!$A$1:$G$49, MATCH(orders!$D313, products!$A$1:$A$49, 0), MATCH(orders!L$1, products!$A$1:$G$1, 0))</f>
        <v>31.624999999999996</v>
      </c>
      <c r="M313" s="6">
        <f t="shared" si="13"/>
        <v>189.74999999999997</v>
      </c>
      <c r="N313" t="str">
        <f t="shared" si="14"/>
        <v>Excelsa</v>
      </c>
      <c r="O313" t="str">
        <f t="shared" si="12"/>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_xlfn.XLOOKUP(C314,customers!$A$2:$A$1001,customers!$B$2:$B$1001,,0)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 MATCH(orders!$D314, products!$A$1:$A$49, 0), MATCH(orders!I$1, products!$A$1:$G$1, 0))</f>
        <v>Rob</v>
      </c>
      <c r="J314" t="str">
        <f>INDEX(products!$A$1:$G$49, MATCH(orders!$D314, products!$A$1:$A$49, 0), MATCH(orders!J$1, products!$A$1:$G$1, 0))</f>
        <v>M</v>
      </c>
      <c r="K314" s="5">
        <f>INDEX(products!$A$1:$G$49, MATCH(orders!$D314, products!$A$1:$A$49, 0), MATCH(orders!K$1, products!$A$1:$G$1, 0))</f>
        <v>0.5</v>
      </c>
      <c r="L314" s="6">
        <f>INDEX(products!$A$1:$G$49, MATCH(orders!$D314, products!$A$1:$A$49, 0), MATCH(orders!L$1, products!$A$1:$G$1, 0))</f>
        <v>5.97</v>
      </c>
      <c r="M314" s="6">
        <f t="shared" si="13"/>
        <v>5.97</v>
      </c>
      <c r="N314" t="str">
        <f t="shared" si="14"/>
        <v>Robusta</v>
      </c>
      <c r="O314" t="str">
        <f t="shared" si="12"/>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_xlfn.XLOOKUP(C315,customers!$A$2:$A$1001,customers!$B$2:$B$1001,,0)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 MATCH(orders!$D315, products!$A$1:$A$49, 0), MATCH(orders!I$1, products!$A$1:$G$1, 0))</f>
        <v>Rob</v>
      </c>
      <c r="J315" t="str">
        <f>INDEX(products!$A$1:$G$49, MATCH(orders!$D315, products!$A$1:$A$49, 0), MATCH(orders!J$1, products!$A$1:$G$1, 0))</f>
        <v>M</v>
      </c>
      <c r="K315" s="5">
        <f>INDEX(products!$A$1:$G$49, MATCH(orders!$D315, products!$A$1:$A$49, 0), MATCH(orders!K$1, products!$A$1:$G$1, 0))</f>
        <v>1</v>
      </c>
      <c r="L315" s="6">
        <f>INDEX(products!$A$1:$G$49, MATCH(orders!$D315, products!$A$1:$A$49, 0), MATCH(orders!L$1, products!$A$1:$G$1, 0))</f>
        <v>9.9499999999999993</v>
      </c>
      <c r="M315" s="6">
        <f t="shared" si="13"/>
        <v>29.849999999999998</v>
      </c>
      <c r="N315" t="str">
        <f t="shared" si="14"/>
        <v>Robusta</v>
      </c>
      <c r="O315" t="str">
        <f t="shared" si="12"/>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_xlfn.XLOOKUP(C316,customers!$A$2:$A$1001,customers!$B$2:$B$1001,,0)</f>
        <v>Stacy Pickworth</v>
      </c>
      <c r="G316" s="2" t="str">
        <f>IF(_xlfn.XLOOKUP(C316,customers!$A$1:$A$1001,customers!$C$1:$C$1001,,0)=0,"",_xlfn.XLOOKUP(C316,customers!$A$1:$A$1001,customers!$C$1:$C$1001,,0))</f>
        <v/>
      </c>
      <c r="H316" s="2" t="str">
        <f>_xlfn.XLOOKUP(C316,customers!$A$1:$A$1001,customers!$G$1:$G$1001,,0)</f>
        <v>United States</v>
      </c>
      <c r="I316" t="str">
        <f>INDEX(products!$A$1:$G$49, MATCH(orders!$D316, products!$A$1:$A$49, 0), MATCH(orders!I$1, products!$A$1:$G$1, 0))</f>
        <v>Rob</v>
      </c>
      <c r="J316" t="str">
        <f>INDEX(products!$A$1:$G$49, MATCH(orders!$D316, products!$A$1:$A$49, 0), MATCH(orders!J$1, products!$A$1:$G$1, 0))</f>
        <v>D</v>
      </c>
      <c r="K316" s="5">
        <f>INDEX(products!$A$1:$G$49, MATCH(orders!$D316, products!$A$1:$A$49, 0), MATCH(orders!K$1, products!$A$1:$G$1, 0))</f>
        <v>1</v>
      </c>
      <c r="L316" s="6">
        <f>INDEX(products!$A$1:$G$49, MATCH(orders!$D316, products!$A$1:$A$49, 0), MATCH(orders!L$1, products!$A$1:$G$1, 0))</f>
        <v>8.9499999999999993</v>
      </c>
      <c r="M316" s="6">
        <f t="shared" si="13"/>
        <v>44.75</v>
      </c>
      <c r="N316" t="str">
        <f t="shared" si="14"/>
        <v>Robusta</v>
      </c>
      <c r="O316" t="str">
        <f t="shared" si="12"/>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_xlfn.XLOOKUP(C317,customers!$A$2:$A$1001,customers!$B$2:$B$1001,,0)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 MATCH(orders!$D317, products!$A$1:$A$49, 0), MATCH(orders!I$1, products!$A$1:$G$1, 0))</f>
        <v>Exc</v>
      </c>
      <c r="J317" t="str">
        <f>INDEX(products!$A$1:$G$49, MATCH(orders!$D317, products!$A$1:$A$49, 0), MATCH(orders!J$1, products!$A$1:$G$1, 0))</f>
        <v>L</v>
      </c>
      <c r="K317" s="5">
        <f>INDEX(products!$A$1:$G$49, MATCH(orders!$D317, products!$A$1:$A$49, 0), MATCH(orders!K$1, products!$A$1:$G$1, 0))</f>
        <v>2.5</v>
      </c>
      <c r="L317" s="6">
        <f>INDEX(products!$A$1:$G$49, MATCH(orders!$D317, products!$A$1:$A$49, 0), MATCH(orders!L$1, products!$A$1:$G$1, 0))</f>
        <v>34.154999999999994</v>
      </c>
      <c r="M317" s="6">
        <f t="shared" si="13"/>
        <v>34.154999999999994</v>
      </c>
      <c r="N317" t="str">
        <f t="shared" si="14"/>
        <v>Excelsa</v>
      </c>
      <c r="O317" t="str">
        <f t="shared" si="12"/>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_xlfn.XLOOKUP(C318,customers!$A$2:$A$1001,customers!$B$2:$B$1001,,0)</f>
        <v>Nanny Lush</v>
      </c>
      <c r="G318" s="2" t="str">
        <f>IF(_xlfn.XLOOKUP(C318,customers!$A$1:$A$1001,customers!$C$1:$C$1001,,0)=0,"",_xlfn.XLOOKUP(C318,customers!$A$1:$A$1001,customers!$C$1:$C$1001,,0))</f>
        <v>nlush8s@dedecms.com</v>
      </c>
      <c r="H318" s="2" t="str">
        <f>_xlfn.XLOOKUP(C318,customers!$A$1:$A$1001,customers!$G$1:$G$1001,,0)</f>
        <v>Ireland</v>
      </c>
      <c r="I318" t="str">
        <f>INDEX(products!$A$1:$G$49, MATCH(orders!$D318, products!$A$1:$A$49, 0), MATCH(orders!I$1, products!$A$1:$G$1, 0))</f>
        <v>Exc</v>
      </c>
      <c r="J318" t="str">
        <f>INDEX(products!$A$1:$G$49, MATCH(orders!$D318, products!$A$1:$A$49, 0), MATCH(orders!J$1, products!$A$1:$G$1, 0))</f>
        <v>L</v>
      </c>
      <c r="K318" s="5">
        <f>INDEX(products!$A$1:$G$49, MATCH(orders!$D318, products!$A$1:$A$49, 0), MATCH(orders!K$1, products!$A$1:$G$1, 0))</f>
        <v>2.5</v>
      </c>
      <c r="L318" s="6">
        <f>INDEX(products!$A$1:$G$49, MATCH(orders!$D318, products!$A$1:$A$49, 0), MATCH(orders!L$1, products!$A$1:$G$1, 0))</f>
        <v>34.154999999999994</v>
      </c>
      <c r="M318" s="6">
        <f t="shared" si="13"/>
        <v>204.92999999999995</v>
      </c>
      <c r="N318" t="str">
        <f t="shared" si="14"/>
        <v>Excelsa</v>
      </c>
      <c r="O318" t="str">
        <f t="shared" si="12"/>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_xlfn.XLOOKUP(C319,customers!$A$2:$A$1001,customers!$B$2:$B$1001,,0)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 MATCH(orders!$D319, products!$A$1:$A$49, 0), MATCH(orders!I$1, products!$A$1:$G$1, 0))</f>
        <v>Exc</v>
      </c>
      <c r="J319" t="str">
        <f>INDEX(products!$A$1:$G$49, MATCH(orders!$D319, products!$A$1:$A$49, 0), MATCH(orders!J$1, products!$A$1:$G$1, 0))</f>
        <v>D</v>
      </c>
      <c r="K319" s="5">
        <f>INDEX(products!$A$1:$G$49, MATCH(orders!$D319, products!$A$1:$A$49, 0), MATCH(orders!K$1, products!$A$1:$G$1, 0))</f>
        <v>0.5</v>
      </c>
      <c r="L319" s="6">
        <f>INDEX(products!$A$1:$G$49, MATCH(orders!$D319, products!$A$1:$A$49, 0), MATCH(orders!L$1, products!$A$1:$G$1, 0))</f>
        <v>7.29</v>
      </c>
      <c r="M319" s="6">
        <f t="shared" si="13"/>
        <v>21.87</v>
      </c>
      <c r="N319" t="str">
        <f t="shared" si="14"/>
        <v>Excelsa</v>
      </c>
      <c r="O319" t="str">
        <f t="shared" si="12"/>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_xlfn.XLOOKUP(C320,customers!$A$2:$A$1001,customers!$B$2:$B$1001,,0)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 MATCH(orders!$D320, products!$A$1:$A$49, 0), MATCH(orders!I$1, products!$A$1:$G$1, 0))</f>
        <v>Ara</v>
      </c>
      <c r="J320" t="str">
        <f>INDEX(products!$A$1:$G$49, MATCH(orders!$D320, products!$A$1:$A$49, 0), MATCH(orders!J$1, products!$A$1:$G$1, 0))</f>
        <v>M</v>
      </c>
      <c r="K320" s="5">
        <f>INDEX(products!$A$1:$G$49, MATCH(orders!$D320, products!$A$1:$A$49, 0), MATCH(orders!K$1, products!$A$1:$G$1, 0))</f>
        <v>2.5</v>
      </c>
      <c r="L320" s="6">
        <f>INDEX(products!$A$1:$G$49, MATCH(orders!$D320, products!$A$1:$A$49, 0), MATCH(orders!L$1, products!$A$1:$G$1, 0))</f>
        <v>25.874999999999996</v>
      </c>
      <c r="M320" s="6">
        <f t="shared" si="13"/>
        <v>51.749999999999993</v>
      </c>
      <c r="N320" t="str">
        <f t="shared" si="14"/>
        <v>Arabica</v>
      </c>
      <c r="O320" t="str">
        <f t="shared" si="12"/>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_xlfn.XLOOKUP(C321,customers!$A$2:$A$1001,customers!$B$2:$B$1001,,0)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 MATCH(orders!$D321, products!$A$1:$A$49, 0), MATCH(orders!I$1, products!$A$1:$G$1, 0))</f>
        <v>Exc</v>
      </c>
      <c r="J321" t="str">
        <f>INDEX(products!$A$1:$G$49, MATCH(orders!$D321, products!$A$1:$A$49, 0), MATCH(orders!J$1, products!$A$1:$G$1, 0))</f>
        <v>M</v>
      </c>
      <c r="K321" s="5">
        <f>INDEX(products!$A$1:$G$49, MATCH(orders!$D321, products!$A$1:$A$49, 0), MATCH(orders!K$1, products!$A$1:$G$1, 0))</f>
        <v>0.2</v>
      </c>
      <c r="L321" s="6">
        <f>INDEX(products!$A$1:$G$49, MATCH(orders!$D321, products!$A$1:$A$49, 0), MATCH(orders!L$1, products!$A$1:$G$1, 0))</f>
        <v>4.125</v>
      </c>
      <c r="M321" s="6">
        <f t="shared" si="13"/>
        <v>8.25</v>
      </c>
      <c r="N321" t="str">
        <f t="shared" si="14"/>
        <v>Excelsa</v>
      </c>
      <c r="O321" t="str">
        <f t="shared" si="12"/>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_xlfn.XLOOKUP(C322,customers!$A$2:$A$1001,customers!$B$2:$B$1001,,0)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 MATCH(orders!$D322, products!$A$1:$A$49, 0), MATCH(orders!I$1, products!$A$1:$G$1, 0))</f>
        <v>Ara</v>
      </c>
      <c r="J322" t="str">
        <f>INDEX(products!$A$1:$G$49, MATCH(orders!$D322, products!$A$1:$A$49, 0), MATCH(orders!J$1, products!$A$1:$G$1, 0))</f>
        <v>L</v>
      </c>
      <c r="K322" s="5">
        <f>INDEX(products!$A$1:$G$49, MATCH(orders!$D322, products!$A$1:$A$49, 0), MATCH(orders!K$1, products!$A$1:$G$1, 0))</f>
        <v>0.2</v>
      </c>
      <c r="L322" s="6">
        <f>INDEX(products!$A$1:$G$49, MATCH(orders!$D322, products!$A$1:$A$49, 0), MATCH(orders!L$1, products!$A$1:$G$1, 0))</f>
        <v>3.8849999999999998</v>
      </c>
      <c r="M322" s="6">
        <f t="shared" si="13"/>
        <v>19.424999999999997</v>
      </c>
      <c r="N322" t="str">
        <f t="shared" si="14"/>
        <v>Arabica</v>
      </c>
      <c r="O322" t="str">
        <f t="shared" ref="O322:O385" si="15">IF(J322="M","Medium",IF(J322="l","Light",IF(J322="d","Dark","")))</f>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_xlfn.XLOOKUP(C323,customers!$A$2:$A$1001,customers!$B$2:$B$1001,,0)</f>
        <v>Gaile Goggin</v>
      </c>
      <c r="G323" s="2" t="str">
        <f>IF(_xlfn.XLOOKUP(C323,customers!$A$1:$A$1001,customers!$C$1:$C$1001,,0)=0,"",_xlfn.XLOOKUP(C323,customers!$A$1:$A$1001,customers!$C$1:$C$1001,,0))</f>
        <v>ggoggin8x@wix.com</v>
      </c>
      <c r="H323" s="2" t="str">
        <f>_xlfn.XLOOKUP(C323,customers!$A$1:$A$1001,customers!$G$1:$G$1001,,0)</f>
        <v>Ireland</v>
      </c>
      <c r="I323" t="str">
        <f>INDEX(products!$A$1:$G$49, MATCH(orders!$D323, products!$A$1:$A$49, 0), MATCH(orders!I$1, products!$A$1:$G$1, 0))</f>
        <v>Ara</v>
      </c>
      <c r="J323" t="str">
        <f>INDEX(products!$A$1:$G$49, MATCH(orders!$D323, products!$A$1:$A$49, 0), MATCH(orders!J$1, products!$A$1:$G$1, 0))</f>
        <v>M</v>
      </c>
      <c r="K323" s="5">
        <f>INDEX(products!$A$1:$G$49, MATCH(orders!$D323, products!$A$1:$A$49, 0), MATCH(orders!K$1, products!$A$1:$G$1, 0))</f>
        <v>0.2</v>
      </c>
      <c r="L323" s="6">
        <f>INDEX(products!$A$1:$G$49, MATCH(orders!$D323, products!$A$1:$A$49, 0), MATCH(orders!L$1, products!$A$1:$G$1, 0))</f>
        <v>3.375</v>
      </c>
      <c r="M323" s="6">
        <f t="shared" ref="M323:M386" si="16">L323*E323</f>
        <v>20.25</v>
      </c>
      <c r="N323" t="str">
        <f t="shared" ref="N323:N386" si="17">IF(I323="Rob","Robusta",IF(I323="Exc","Excelsa",IF(I323="Ara","Arabica",IF(I323="lib","Liberica",""))))</f>
        <v>Arabica</v>
      </c>
      <c r="O323" t="str">
        <f t="shared" si="15"/>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_xlfn.XLOOKUP(C324,customers!$A$2:$A$1001,customers!$B$2:$B$1001,,0)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 MATCH(orders!$D324, products!$A$1:$A$49, 0), MATCH(orders!I$1, products!$A$1:$G$1, 0))</f>
        <v>Lib</v>
      </c>
      <c r="J324" t="str">
        <f>INDEX(products!$A$1:$G$49, MATCH(orders!$D324, products!$A$1:$A$49, 0), MATCH(orders!J$1, products!$A$1:$G$1, 0))</f>
        <v>D</v>
      </c>
      <c r="K324" s="5">
        <f>INDEX(products!$A$1:$G$49, MATCH(orders!$D324, products!$A$1:$A$49, 0), MATCH(orders!K$1, products!$A$1:$G$1, 0))</f>
        <v>0.5</v>
      </c>
      <c r="L324" s="6">
        <f>INDEX(products!$A$1:$G$49, MATCH(orders!$D324, products!$A$1:$A$49, 0), MATCH(orders!L$1, products!$A$1:$G$1, 0))</f>
        <v>7.77</v>
      </c>
      <c r="M324" s="6">
        <f t="shared" si="16"/>
        <v>23.31</v>
      </c>
      <c r="N324" t="str">
        <f t="shared" si="17"/>
        <v>Liberica</v>
      </c>
      <c r="O324" t="str">
        <f t="shared" si="15"/>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_xlfn.XLOOKUP(C325,customers!$A$2:$A$1001,customers!$B$2:$B$1001,,0)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 MATCH(orders!$D325, products!$A$1:$A$49, 0), MATCH(orders!I$1, products!$A$1:$G$1, 0))</f>
        <v>Exc</v>
      </c>
      <c r="J325" t="str">
        <f>INDEX(products!$A$1:$G$49, MATCH(orders!$D325, products!$A$1:$A$49, 0), MATCH(orders!J$1, products!$A$1:$G$1, 0))</f>
        <v>D</v>
      </c>
      <c r="K325" s="5">
        <f>INDEX(products!$A$1:$G$49, MATCH(orders!$D325, products!$A$1:$A$49, 0), MATCH(orders!K$1, products!$A$1:$G$1, 0))</f>
        <v>0.2</v>
      </c>
      <c r="L325" s="6">
        <f>INDEX(products!$A$1:$G$49, MATCH(orders!$D325, products!$A$1:$A$49, 0), MATCH(orders!L$1, products!$A$1:$G$1, 0))</f>
        <v>3.645</v>
      </c>
      <c r="M325" s="6">
        <f t="shared" si="16"/>
        <v>18.225000000000001</v>
      </c>
      <c r="N325" t="str">
        <f t="shared" si="17"/>
        <v>Excelsa</v>
      </c>
      <c r="O325" t="str">
        <f t="shared" si="15"/>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_xlfn.XLOOKUP(C326,customers!$A$2:$A$1001,customers!$B$2:$B$1001,,0)</f>
        <v>Diena Peetermann</v>
      </c>
      <c r="G326" s="2" t="str">
        <f>IF(_xlfn.XLOOKUP(C326,customers!$A$1:$A$1001,customers!$C$1:$C$1001,,0)=0,"",_xlfn.XLOOKUP(C326,customers!$A$1:$A$1001,customers!$C$1:$C$1001,,0))</f>
        <v/>
      </c>
      <c r="H326" s="2" t="str">
        <f>_xlfn.XLOOKUP(C326,customers!$A$1:$A$1001,customers!$G$1:$G$1001,,0)</f>
        <v>United States</v>
      </c>
      <c r="I326" t="str">
        <f>INDEX(products!$A$1:$G$49, MATCH(orders!$D326, products!$A$1:$A$49, 0), MATCH(orders!I$1, products!$A$1:$G$1, 0))</f>
        <v>Exc</v>
      </c>
      <c r="J326" t="str">
        <f>INDEX(products!$A$1:$G$49, MATCH(orders!$D326, products!$A$1:$A$49, 0), MATCH(orders!J$1, products!$A$1:$G$1, 0))</f>
        <v>M</v>
      </c>
      <c r="K326" s="5">
        <f>INDEX(products!$A$1:$G$49, MATCH(orders!$D326, products!$A$1:$A$49, 0), MATCH(orders!K$1, products!$A$1:$G$1, 0))</f>
        <v>1</v>
      </c>
      <c r="L326" s="6">
        <f>INDEX(products!$A$1:$G$49, MATCH(orders!$D326, products!$A$1:$A$49, 0), MATCH(orders!L$1, products!$A$1:$G$1, 0))</f>
        <v>13.75</v>
      </c>
      <c r="M326" s="6">
        <f t="shared" si="16"/>
        <v>13.75</v>
      </c>
      <c r="N326" t="str">
        <f t="shared" si="17"/>
        <v>Excelsa</v>
      </c>
      <c r="O326" t="str">
        <f t="shared" si="15"/>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_xlfn.XLOOKUP(C327,customers!$A$2:$A$1001,customers!$B$2:$B$1001,,0)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 MATCH(orders!$D327, products!$A$1:$A$49, 0), MATCH(orders!I$1, products!$A$1:$G$1, 0))</f>
        <v>Ara</v>
      </c>
      <c r="J327" t="str">
        <f>INDEX(products!$A$1:$G$49, MATCH(orders!$D327, products!$A$1:$A$49, 0), MATCH(orders!J$1, products!$A$1:$G$1, 0))</f>
        <v>L</v>
      </c>
      <c r="K327" s="5">
        <f>INDEX(products!$A$1:$G$49, MATCH(orders!$D327, products!$A$1:$A$49, 0), MATCH(orders!K$1, products!$A$1:$G$1, 0))</f>
        <v>2.5</v>
      </c>
      <c r="L327" s="6">
        <f>INDEX(products!$A$1:$G$49, MATCH(orders!$D327, products!$A$1:$A$49, 0), MATCH(orders!L$1, products!$A$1:$G$1, 0))</f>
        <v>29.784999999999997</v>
      </c>
      <c r="M327" s="6">
        <f t="shared" si="16"/>
        <v>29.784999999999997</v>
      </c>
      <c r="N327" t="str">
        <f t="shared" si="17"/>
        <v>Arabica</v>
      </c>
      <c r="O327" t="str">
        <f t="shared" si="15"/>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_xlfn.XLOOKUP(C328,customers!$A$2:$A$1001,customers!$B$2:$B$1001,,0)</f>
        <v>Flynn Antony</v>
      </c>
      <c r="G328" s="2" t="str">
        <f>IF(_xlfn.XLOOKUP(C328,customers!$A$1:$A$1001,customers!$C$1:$C$1001,,0)=0,"",_xlfn.XLOOKUP(C328,customers!$A$1:$A$1001,customers!$C$1:$C$1001,,0))</f>
        <v/>
      </c>
      <c r="H328" s="2" t="str">
        <f>_xlfn.XLOOKUP(C328,customers!$A$1:$A$1001,customers!$G$1:$G$1001,,0)</f>
        <v>United States</v>
      </c>
      <c r="I328" t="str">
        <f>INDEX(products!$A$1:$G$49, MATCH(orders!$D328, products!$A$1:$A$49, 0), MATCH(orders!I$1, products!$A$1:$G$1, 0))</f>
        <v>Rob</v>
      </c>
      <c r="J328" t="str">
        <f>INDEX(products!$A$1:$G$49, MATCH(orders!$D328, products!$A$1:$A$49, 0), MATCH(orders!J$1, products!$A$1:$G$1, 0))</f>
        <v>D</v>
      </c>
      <c r="K328" s="5">
        <f>INDEX(products!$A$1:$G$49, MATCH(orders!$D328, products!$A$1:$A$49, 0), MATCH(orders!K$1, products!$A$1:$G$1, 0))</f>
        <v>1</v>
      </c>
      <c r="L328" s="6">
        <f>INDEX(products!$A$1:$G$49, MATCH(orders!$D328, products!$A$1:$A$49, 0), MATCH(orders!L$1, products!$A$1:$G$1, 0))</f>
        <v>8.9499999999999993</v>
      </c>
      <c r="M328" s="6">
        <f t="shared" si="16"/>
        <v>44.75</v>
      </c>
      <c r="N328" t="str">
        <f t="shared" si="17"/>
        <v>Robusta</v>
      </c>
      <c r="O328" t="str">
        <f t="shared" si="15"/>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_xlfn.XLOOKUP(C329,customers!$A$2:$A$1001,customers!$B$2:$B$1001,,0)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 MATCH(orders!$D329, products!$A$1:$A$49, 0), MATCH(orders!I$1, products!$A$1:$G$1, 0))</f>
        <v>Rob</v>
      </c>
      <c r="J329" t="str">
        <f>INDEX(products!$A$1:$G$49, MATCH(orders!$D329, products!$A$1:$A$49, 0), MATCH(orders!J$1, products!$A$1:$G$1, 0))</f>
        <v>D</v>
      </c>
      <c r="K329" s="5">
        <f>INDEX(products!$A$1:$G$49, MATCH(orders!$D329, products!$A$1:$A$49, 0), MATCH(orders!K$1, products!$A$1:$G$1, 0))</f>
        <v>1</v>
      </c>
      <c r="L329" s="6">
        <f>INDEX(products!$A$1:$G$49, MATCH(orders!$D329, products!$A$1:$A$49, 0), MATCH(orders!L$1, products!$A$1:$G$1, 0))</f>
        <v>8.9499999999999993</v>
      </c>
      <c r="M329" s="6">
        <f t="shared" si="16"/>
        <v>44.75</v>
      </c>
      <c r="N329" t="str">
        <f t="shared" si="17"/>
        <v>Robusta</v>
      </c>
      <c r="O329" t="str">
        <f t="shared" si="15"/>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_xlfn.XLOOKUP(C330,customers!$A$2:$A$1001,customers!$B$2:$B$1001,,0)</f>
        <v>Homer Dulany</v>
      </c>
      <c r="G330" s="2" t="str">
        <f>IF(_xlfn.XLOOKUP(C330,customers!$A$1:$A$1001,customers!$C$1:$C$1001,,0)=0,"",_xlfn.XLOOKUP(C330,customers!$A$1:$A$1001,customers!$C$1:$C$1001,,0))</f>
        <v/>
      </c>
      <c r="H330" s="2" t="str">
        <f>_xlfn.XLOOKUP(C330,customers!$A$1:$A$1001,customers!$G$1:$G$1001,,0)</f>
        <v>United States</v>
      </c>
      <c r="I330" t="str">
        <f>INDEX(products!$A$1:$G$49, MATCH(orders!$D330, products!$A$1:$A$49, 0), MATCH(orders!I$1, products!$A$1:$G$1, 0))</f>
        <v>Lib</v>
      </c>
      <c r="J330" t="str">
        <f>INDEX(products!$A$1:$G$49, MATCH(orders!$D330, products!$A$1:$A$49, 0), MATCH(orders!J$1, products!$A$1:$G$1, 0))</f>
        <v>L</v>
      </c>
      <c r="K330" s="5">
        <f>INDEX(products!$A$1:$G$49, MATCH(orders!$D330, products!$A$1:$A$49, 0), MATCH(orders!K$1, products!$A$1:$G$1, 0))</f>
        <v>0.5</v>
      </c>
      <c r="L330" s="6">
        <f>INDEX(products!$A$1:$G$49, MATCH(orders!$D330, products!$A$1:$A$49, 0), MATCH(orders!L$1, products!$A$1:$G$1, 0))</f>
        <v>9.51</v>
      </c>
      <c r="M330" s="6">
        <f t="shared" si="16"/>
        <v>38.04</v>
      </c>
      <c r="N330" t="str">
        <f t="shared" si="17"/>
        <v>Liberica</v>
      </c>
      <c r="O330" t="str">
        <f t="shared" si="15"/>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_xlfn.XLOOKUP(C331,customers!$A$2:$A$1001,customers!$B$2:$B$1001,,0)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 MATCH(orders!$D331, products!$A$1:$A$49, 0), MATCH(orders!I$1, products!$A$1:$G$1, 0))</f>
        <v>Rob</v>
      </c>
      <c r="J331" t="str">
        <f>INDEX(products!$A$1:$G$49, MATCH(orders!$D331, products!$A$1:$A$49, 0), MATCH(orders!J$1, products!$A$1:$G$1, 0))</f>
        <v>D</v>
      </c>
      <c r="K331" s="5">
        <f>INDEX(products!$A$1:$G$49, MATCH(orders!$D331, products!$A$1:$A$49, 0), MATCH(orders!K$1, products!$A$1:$G$1, 0))</f>
        <v>0.5</v>
      </c>
      <c r="L331" s="6">
        <f>INDEX(products!$A$1:$G$49, MATCH(orders!$D331, products!$A$1:$A$49, 0), MATCH(orders!L$1, products!$A$1:$G$1, 0))</f>
        <v>5.3699999999999992</v>
      </c>
      <c r="M331" s="6">
        <f t="shared" si="16"/>
        <v>21.479999999999997</v>
      </c>
      <c r="N331" t="str">
        <f t="shared" si="17"/>
        <v>Robusta</v>
      </c>
      <c r="O331" t="str">
        <f t="shared" si="15"/>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_xlfn.XLOOKUP(C332,customers!$A$2:$A$1001,customers!$B$2:$B$1001,,0)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 MATCH(orders!$D332, products!$A$1:$A$49, 0), MATCH(orders!I$1, products!$A$1:$G$1, 0))</f>
        <v>Rob</v>
      </c>
      <c r="J332" t="str">
        <f>INDEX(products!$A$1:$G$49, MATCH(orders!$D332, products!$A$1:$A$49, 0), MATCH(orders!J$1, products!$A$1:$G$1, 0))</f>
        <v>D</v>
      </c>
      <c r="K332" s="5">
        <f>INDEX(products!$A$1:$G$49, MATCH(orders!$D332, products!$A$1:$A$49, 0), MATCH(orders!K$1, products!$A$1:$G$1, 0))</f>
        <v>0.5</v>
      </c>
      <c r="L332" s="6">
        <f>INDEX(products!$A$1:$G$49, MATCH(orders!$D332, products!$A$1:$A$49, 0), MATCH(orders!L$1, products!$A$1:$G$1, 0))</f>
        <v>5.3699999999999992</v>
      </c>
      <c r="M332" s="6">
        <f t="shared" si="16"/>
        <v>16.11</v>
      </c>
      <c r="N332" t="str">
        <f t="shared" si="17"/>
        <v>Robusta</v>
      </c>
      <c r="O332" t="str">
        <f t="shared" si="15"/>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_xlfn.XLOOKUP(C333,customers!$A$2:$A$1001,customers!$B$2:$B$1001,,0)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 MATCH(orders!$D333, products!$A$1:$A$49, 0), MATCH(orders!I$1, products!$A$1:$G$1, 0))</f>
        <v>Rob</v>
      </c>
      <c r="J333" t="str">
        <f>INDEX(products!$A$1:$G$49, MATCH(orders!$D333, products!$A$1:$A$49, 0), MATCH(orders!J$1, products!$A$1:$G$1, 0))</f>
        <v>M</v>
      </c>
      <c r="K333" s="5">
        <f>INDEX(products!$A$1:$G$49, MATCH(orders!$D333, products!$A$1:$A$49, 0), MATCH(orders!K$1, products!$A$1:$G$1, 0))</f>
        <v>2.5</v>
      </c>
      <c r="L333" s="6">
        <f>INDEX(products!$A$1:$G$49, MATCH(orders!$D333, products!$A$1:$A$49, 0), MATCH(orders!L$1, products!$A$1:$G$1, 0))</f>
        <v>22.884999999999998</v>
      </c>
      <c r="M333" s="6">
        <f t="shared" si="16"/>
        <v>22.884999999999998</v>
      </c>
      <c r="N333" t="str">
        <f t="shared" si="17"/>
        <v>Robusta</v>
      </c>
      <c r="O333" t="str">
        <f t="shared" si="15"/>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_xlfn.XLOOKUP(C334,customers!$A$2:$A$1001,customers!$B$2:$B$1001,,0)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 MATCH(orders!$D334, products!$A$1:$A$49, 0), MATCH(orders!I$1, products!$A$1:$G$1, 0))</f>
        <v>Ara</v>
      </c>
      <c r="J334" t="str">
        <f>INDEX(products!$A$1:$G$49, MATCH(orders!$D334, products!$A$1:$A$49, 0), MATCH(orders!J$1, products!$A$1:$G$1, 0))</f>
        <v>D</v>
      </c>
      <c r="K334" s="5">
        <f>INDEX(products!$A$1:$G$49, MATCH(orders!$D334, products!$A$1:$A$49, 0), MATCH(orders!K$1, products!$A$1:$G$1, 0))</f>
        <v>0.5</v>
      </c>
      <c r="L334" s="6">
        <f>INDEX(products!$A$1:$G$49, MATCH(orders!$D334, products!$A$1:$A$49, 0), MATCH(orders!L$1, products!$A$1:$G$1, 0))</f>
        <v>5.97</v>
      </c>
      <c r="M334" s="6">
        <f t="shared" si="16"/>
        <v>17.91</v>
      </c>
      <c r="N334" t="str">
        <f t="shared" si="17"/>
        <v>Arabica</v>
      </c>
      <c r="O334" t="str">
        <f t="shared" si="15"/>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_xlfn.XLOOKUP(C335,customers!$A$2:$A$1001,customers!$B$2:$B$1001,,0)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 MATCH(orders!$D335, products!$A$1:$A$49, 0), MATCH(orders!I$1, products!$A$1:$G$1, 0))</f>
        <v>Rob</v>
      </c>
      <c r="J335" t="str">
        <f>INDEX(products!$A$1:$G$49, MATCH(orders!$D335, products!$A$1:$A$49, 0), MATCH(orders!J$1, products!$A$1:$G$1, 0))</f>
        <v>M</v>
      </c>
      <c r="K335" s="5">
        <f>INDEX(products!$A$1:$G$49, MATCH(orders!$D335, products!$A$1:$A$49, 0), MATCH(orders!K$1, products!$A$1:$G$1, 0))</f>
        <v>0.5</v>
      </c>
      <c r="L335" s="6">
        <f>INDEX(products!$A$1:$G$49, MATCH(orders!$D335, products!$A$1:$A$49, 0), MATCH(orders!L$1, products!$A$1:$G$1, 0))</f>
        <v>5.97</v>
      </c>
      <c r="M335" s="6">
        <f t="shared" si="16"/>
        <v>23.88</v>
      </c>
      <c r="N335" t="str">
        <f t="shared" si="17"/>
        <v>Robusta</v>
      </c>
      <c r="O335" t="str">
        <f t="shared" si="15"/>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_xlfn.XLOOKUP(C336,customers!$A$2:$A$1001,customers!$B$2:$B$1001,,0)</f>
        <v>Elonore Goodings</v>
      </c>
      <c r="G336" s="2" t="str">
        <f>IF(_xlfn.XLOOKUP(C336,customers!$A$1:$A$1001,customers!$C$1:$C$1001,,0)=0,"",_xlfn.XLOOKUP(C336,customers!$A$1:$A$1001,customers!$C$1:$C$1001,,0))</f>
        <v/>
      </c>
      <c r="H336" s="2" t="str">
        <f>_xlfn.XLOOKUP(C336,customers!$A$1:$A$1001,customers!$G$1:$G$1001,,0)</f>
        <v>United States</v>
      </c>
      <c r="I336" t="str">
        <f>INDEX(products!$A$1:$G$49, MATCH(orders!$D336, products!$A$1:$A$49, 0), MATCH(orders!I$1, products!$A$1:$G$1, 0))</f>
        <v>Rob</v>
      </c>
      <c r="J336" t="str">
        <f>INDEX(products!$A$1:$G$49, MATCH(orders!$D336, products!$A$1:$A$49, 0), MATCH(orders!J$1, products!$A$1:$G$1, 0))</f>
        <v>L</v>
      </c>
      <c r="K336" s="5">
        <f>INDEX(products!$A$1:$G$49, MATCH(orders!$D336, products!$A$1:$A$49, 0), MATCH(orders!K$1, products!$A$1:$G$1, 0))</f>
        <v>1</v>
      </c>
      <c r="L336" s="6">
        <f>INDEX(products!$A$1:$G$49, MATCH(orders!$D336, products!$A$1:$A$49, 0), MATCH(orders!L$1, products!$A$1:$G$1, 0))</f>
        <v>11.95</v>
      </c>
      <c r="M336" s="6">
        <f t="shared" si="16"/>
        <v>59.75</v>
      </c>
      <c r="N336" t="str">
        <f t="shared" si="17"/>
        <v>Robusta</v>
      </c>
      <c r="O336" t="str">
        <f t="shared" si="15"/>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_xlfn.XLOOKUP(C337,customers!$A$2:$A$1001,customers!$B$2:$B$1001,,0)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 MATCH(orders!$D337, products!$A$1:$A$49, 0), MATCH(orders!I$1, products!$A$1:$G$1, 0))</f>
        <v>Lib</v>
      </c>
      <c r="J337" t="str">
        <f>INDEX(products!$A$1:$G$49, MATCH(orders!$D337, products!$A$1:$A$49, 0), MATCH(orders!J$1, products!$A$1:$G$1, 0))</f>
        <v>L</v>
      </c>
      <c r="K337" s="5">
        <f>INDEX(products!$A$1:$G$49, MATCH(orders!$D337, products!$A$1:$A$49, 0), MATCH(orders!K$1, products!$A$1:$G$1, 0))</f>
        <v>0.2</v>
      </c>
      <c r="L337" s="6">
        <f>INDEX(products!$A$1:$G$49, MATCH(orders!$D337, products!$A$1:$A$49, 0), MATCH(orders!L$1, products!$A$1:$G$1, 0))</f>
        <v>4.7549999999999999</v>
      </c>
      <c r="M337" s="6">
        <f t="shared" si="16"/>
        <v>28.53</v>
      </c>
      <c r="N337" t="str">
        <f t="shared" si="17"/>
        <v>Liberica</v>
      </c>
      <c r="O337" t="str">
        <f t="shared" si="15"/>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_xlfn.XLOOKUP(C338,customers!$A$2:$A$1001,customers!$B$2:$B$1001,,0)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 MATCH(orders!$D338, products!$A$1:$A$49, 0), MATCH(orders!I$1, products!$A$1:$G$1, 0))</f>
        <v>Ara</v>
      </c>
      <c r="J338" t="str">
        <f>INDEX(products!$A$1:$G$49, MATCH(orders!$D338, products!$A$1:$A$49, 0), MATCH(orders!J$1, products!$A$1:$G$1, 0))</f>
        <v>M</v>
      </c>
      <c r="K338" s="5">
        <f>INDEX(products!$A$1:$G$49, MATCH(orders!$D338, products!$A$1:$A$49, 0), MATCH(orders!K$1, products!$A$1:$G$1, 0))</f>
        <v>1</v>
      </c>
      <c r="L338" s="6">
        <f>INDEX(products!$A$1:$G$49, MATCH(orders!$D338, products!$A$1:$A$49, 0), MATCH(orders!L$1, products!$A$1:$G$1, 0))</f>
        <v>11.25</v>
      </c>
      <c r="M338" s="6">
        <f t="shared" si="16"/>
        <v>45</v>
      </c>
      <c r="N338" t="str">
        <f t="shared" si="17"/>
        <v>Arabica</v>
      </c>
      <c r="O338" t="str">
        <f t="shared" si="15"/>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_xlfn.XLOOKUP(C339,customers!$A$2:$A$1001,customers!$B$2:$B$1001,,0)</f>
        <v>Flynn Antony</v>
      </c>
      <c r="G339" s="2" t="str">
        <f>IF(_xlfn.XLOOKUP(C339,customers!$A$1:$A$1001,customers!$C$1:$C$1001,,0)=0,"",_xlfn.XLOOKUP(C339,customers!$A$1:$A$1001,customers!$C$1:$C$1001,,0))</f>
        <v/>
      </c>
      <c r="H339" s="2" t="str">
        <f>_xlfn.XLOOKUP(C339,customers!$A$1:$A$1001,customers!$G$1:$G$1001,,0)</f>
        <v>United States</v>
      </c>
      <c r="I339" t="str">
        <f>INDEX(products!$A$1:$G$49, MATCH(orders!$D339, products!$A$1:$A$49, 0), MATCH(orders!I$1, products!$A$1:$G$1, 0))</f>
        <v>Exc</v>
      </c>
      <c r="J339" t="str">
        <f>INDEX(products!$A$1:$G$49, MATCH(orders!$D339, products!$A$1:$A$49, 0), MATCH(orders!J$1, products!$A$1:$G$1, 0))</f>
        <v>D</v>
      </c>
      <c r="K339" s="5">
        <f>INDEX(products!$A$1:$G$49, MATCH(orders!$D339, products!$A$1:$A$49, 0), MATCH(orders!K$1, products!$A$1:$G$1, 0))</f>
        <v>2.5</v>
      </c>
      <c r="L339" s="6">
        <f>INDEX(products!$A$1:$G$49, MATCH(orders!$D339, products!$A$1:$A$49, 0), MATCH(orders!L$1, products!$A$1:$G$1, 0))</f>
        <v>27.945</v>
      </c>
      <c r="M339" s="6">
        <f t="shared" si="16"/>
        <v>55.89</v>
      </c>
      <c r="N339" t="str">
        <f t="shared" si="17"/>
        <v>Excelsa</v>
      </c>
      <c r="O339" t="str">
        <f t="shared" si="15"/>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_xlfn.XLOOKUP(C340,customers!$A$2:$A$1001,customers!$B$2:$B$1001,,0)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 MATCH(orders!$D340, products!$A$1:$A$49, 0), MATCH(orders!I$1, products!$A$1:$G$1, 0))</f>
        <v>Exc</v>
      </c>
      <c r="J340" t="str">
        <f>INDEX(products!$A$1:$G$49, MATCH(orders!$D340, products!$A$1:$A$49, 0), MATCH(orders!J$1, products!$A$1:$G$1, 0))</f>
        <v>L</v>
      </c>
      <c r="K340" s="5">
        <f>INDEX(products!$A$1:$G$49, MATCH(orders!$D340, products!$A$1:$A$49, 0), MATCH(orders!K$1, products!$A$1:$G$1, 0))</f>
        <v>1</v>
      </c>
      <c r="L340" s="6">
        <f>INDEX(products!$A$1:$G$49, MATCH(orders!$D340, products!$A$1:$A$49, 0), MATCH(orders!L$1, products!$A$1:$G$1, 0))</f>
        <v>14.85</v>
      </c>
      <c r="M340" s="6">
        <f t="shared" si="16"/>
        <v>59.4</v>
      </c>
      <c r="N340" t="str">
        <f t="shared" si="17"/>
        <v>Excelsa</v>
      </c>
      <c r="O340" t="str">
        <f t="shared" si="15"/>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_xlfn.XLOOKUP(C341,customers!$A$2:$A$1001,customers!$B$2:$B$1001,,0)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 MATCH(orders!$D341, products!$A$1:$A$49, 0), MATCH(orders!I$1, products!$A$1:$G$1, 0))</f>
        <v>Exc</v>
      </c>
      <c r="J341" t="str">
        <f>INDEX(products!$A$1:$G$49, MATCH(orders!$D341, products!$A$1:$A$49, 0), MATCH(orders!J$1, products!$A$1:$G$1, 0))</f>
        <v>D</v>
      </c>
      <c r="K341" s="5">
        <f>INDEX(products!$A$1:$G$49, MATCH(orders!$D341, products!$A$1:$A$49, 0), MATCH(orders!K$1, products!$A$1:$G$1, 0))</f>
        <v>0.2</v>
      </c>
      <c r="L341" s="6">
        <f>INDEX(products!$A$1:$G$49, MATCH(orders!$D341, products!$A$1:$A$49, 0), MATCH(orders!L$1, products!$A$1:$G$1, 0))</f>
        <v>3.645</v>
      </c>
      <c r="M341" s="6">
        <f t="shared" si="16"/>
        <v>7.29</v>
      </c>
      <c r="N341" t="str">
        <f t="shared" si="17"/>
        <v>Excelsa</v>
      </c>
      <c r="O341" t="str">
        <f t="shared" si="15"/>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_xlfn.XLOOKUP(C342,customers!$A$2:$A$1001,customers!$B$2:$B$1001,,0)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 MATCH(orders!$D342, products!$A$1:$A$49, 0), MATCH(orders!I$1, products!$A$1:$G$1, 0))</f>
        <v>Exc</v>
      </c>
      <c r="J342" t="str">
        <f>INDEX(products!$A$1:$G$49, MATCH(orders!$D342, products!$A$1:$A$49, 0), MATCH(orders!J$1, products!$A$1:$G$1, 0))</f>
        <v>D</v>
      </c>
      <c r="K342" s="5">
        <f>INDEX(products!$A$1:$G$49, MATCH(orders!$D342, products!$A$1:$A$49, 0), MATCH(orders!K$1, products!$A$1:$G$1, 0))</f>
        <v>0.5</v>
      </c>
      <c r="L342" s="6">
        <f>INDEX(products!$A$1:$G$49, MATCH(orders!$D342, products!$A$1:$A$49, 0), MATCH(orders!L$1, products!$A$1:$G$1, 0))</f>
        <v>7.29</v>
      </c>
      <c r="M342" s="6">
        <f t="shared" si="16"/>
        <v>7.29</v>
      </c>
      <c r="N342" t="str">
        <f t="shared" si="17"/>
        <v>Excelsa</v>
      </c>
      <c r="O342" t="str">
        <f t="shared" si="15"/>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_xlfn.XLOOKUP(C343,customers!$A$2:$A$1001,customers!$B$2:$B$1001,,0)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 MATCH(orders!$D343, products!$A$1:$A$49, 0), MATCH(orders!I$1, products!$A$1:$G$1, 0))</f>
        <v>Exc</v>
      </c>
      <c r="J343" t="str">
        <f>INDEX(products!$A$1:$G$49, MATCH(orders!$D343, products!$A$1:$A$49, 0), MATCH(orders!J$1, products!$A$1:$G$1, 0))</f>
        <v>L</v>
      </c>
      <c r="K343" s="5">
        <f>INDEX(products!$A$1:$G$49, MATCH(orders!$D343, products!$A$1:$A$49, 0), MATCH(orders!K$1, products!$A$1:$G$1, 0))</f>
        <v>0.5</v>
      </c>
      <c r="L343" s="6">
        <f>INDEX(products!$A$1:$G$49, MATCH(orders!$D343, products!$A$1:$A$49, 0), MATCH(orders!L$1, products!$A$1:$G$1, 0))</f>
        <v>8.91</v>
      </c>
      <c r="M343" s="6">
        <f t="shared" si="16"/>
        <v>17.82</v>
      </c>
      <c r="N343" t="str">
        <f t="shared" si="17"/>
        <v>Excelsa</v>
      </c>
      <c r="O343" t="str">
        <f t="shared" si="15"/>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_xlfn.XLOOKUP(C344,customers!$A$2:$A$1001,customers!$B$2:$B$1001,,0)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 MATCH(orders!$D344, products!$A$1:$A$49, 0), MATCH(orders!I$1, products!$A$1:$G$1, 0))</f>
        <v>Lib</v>
      </c>
      <c r="J344" t="str">
        <f>INDEX(products!$A$1:$G$49, MATCH(orders!$D344, products!$A$1:$A$49, 0), MATCH(orders!J$1, products!$A$1:$G$1, 0))</f>
        <v>D</v>
      </c>
      <c r="K344" s="5">
        <f>INDEX(products!$A$1:$G$49, MATCH(orders!$D344, products!$A$1:$A$49, 0), MATCH(orders!K$1, products!$A$1:$G$1, 0))</f>
        <v>0.5</v>
      </c>
      <c r="L344" s="6">
        <f>INDEX(products!$A$1:$G$49, MATCH(orders!$D344, products!$A$1:$A$49, 0), MATCH(orders!L$1, products!$A$1:$G$1, 0))</f>
        <v>7.77</v>
      </c>
      <c r="M344" s="6">
        <f t="shared" si="16"/>
        <v>38.849999999999994</v>
      </c>
      <c r="N344" t="str">
        <f t="shared" si="17"/>
        <v>Liberica</v>
      </c>
      <c r="O344" t="str">
        <f t="shared" si="15"/>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_xlfn.XLOOKUP(C345,customers!$A$2:$A$1001,customers!$B$2:$B$1001,,0)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 MATCH(orders!$D345, products!$A$1:$A$49, 0), MATCH(orders!I$1, products!$A$1:$G$1, 0))</f>
        <v>Rob</v>
      </c>
      <c r="J345" t="str">
        <f>INDEX(products!$A$1:$G$49, MATCH(orders!$D345, products!$A$1:$A$49, 0), MATCH(orders!J$1, products!$A$1:$G$1, 0))</f>
        <v>D</v>
      </c>
      <c r="K345" s="5">
        <f>INDEX(products!$A$1:$G$49, MATCH(orders!$D345, products!$A$1:$A$49, 0), MATCH(orders!K$1, products!$A$1:$G$1, 0))</f>
        <v>0.5</v>
      </c>
      <c r="L345" s="6">
        <f>INDEX(products!$A$1:$G$49, MATCH(orders!$D345, products!$A$1:$A$49, 0), MATCH(orders!L$1, products!$A$1:$G$1, 0))</f>
        <v>5.3699999999999992</v>
      </c>
      <c r="M345" s="6">
        <f t="shared" si="16"/>
        <v>32.22</v>
      </c>
      <c r="N345" t="str">
        <f t="shared" si="17"/>
        <v>Robusta</v>
      </c>
      <c r="O345" t="str">
        <f t="shared" si="15"/>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_xlfn.XLOOKUP(C346,customers!$A$2:$A$1001,customers!$B$2:$B$1001,,0)</f>
        <v>Catarina Donn</v>
      </c>
      <c r="G346" s="2" t="str">
        <f>IF(_xlfn.XLOOKUP(C346,customers!$A$1:$A$1001,customers!$C$1:$C$1001,,0)=0,"",_xlfn.XLOOKUP(C346,customers!$A$1:$A$1001,customers!$C$1:$C$1001,,0))</f>
        <v/>
      </c>
      <c r="H346" s="2" t="str">
        <f>_xlfn.XLOOKUP(C346,customers!$A$1:$A$1001,customers!$G$1:$G$1001,,0)</f>
        <v>Ireland</v>
      </c>
      <c r="I346" t="str">
        <f>INDEX(products!$A$1:$G$49, MATCH(orders!$D346, products!$A$1:$A$49, 0), MATCH(orders!I$1, products!$A$1:$G$1, 0))</f>
        <v>Rob</v>
      </c>
      <c r="J346" t="str">
        <f>INDEX(products!$A$1:$G$49, MATCH(orders!$D346, products!$A$1:$A$49, 0), MATCH(orders!J$1, products!$A$1:$G$1, 0))</f>
        <v>M</v>
      </c>
      <c r="K346" s="5">
        <f>INDEX(products!$A$1:$G$49, MATCH(orders!$D346, products!$A$1:$A$49, 0), MATCH(orders!K$1, products!$A$1:$G$1, 0))</f>
        <v>1</v>
      </c>
      <c r="L346" s="6">
        <f>INDEX(products!$A$1:$G$49, MATCH(orders!$D346, products!$A$1:$A$49, 0), MATCH(orders!L$1, products!$A$1:$G$1, 0))</f>
        <v>9.9499999999999993</v>
      </c>
      <c r="M346" s="6">
        <f t="shared" si="16"/>
        <v>19.899999999999999</v>
      </c>
      <c r="N346" t="str">
        <f t="shared" si="17"/>
        <v>Robusta</v>
      </c>
      <c r="O346" t="str">
        <f t="shared" si="15"/>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_xlfn.XLOOKUP(C347,customers!$A$2:$A$1001,customers!$B$2:$B$1001,,0)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 MATCH(orders!$D347, products!$A$1:$A$49, 0), MATCH(orders!I$1, products!$A$1:$G$1, 0))</f>
        <v>Rob</v>
      </c>
      <c r="J347" t="str">
        <f>INDEX(products!$A$1:$G$49, MATCH(orders!$D347, products!$A$1:$A$49, 0), MATCH(orders!J$1, products!$A$1:$G$1, 0))</f>
        <v>L</v>
      </c>
      <c r="K347" s="5">
        <f>INDEX(products!$A$1:$G$49, MATCH(orders!$D347, products!$A$1:$A$49, 0), MATCH(orders!K$1, products!$A$1:$G$1, 0))</f>
        <v>1</v>
      </c>
      <c r="L347" s="6">
        <f>INDEX(products!$A$1:$G$49, MATCH(orders!$D347, products!$A$1:$A$49, 0), MATCH(orders!L$1, products!$A$1:$G$1, 0))</f>
        <v>11.95</v>
      </c>
      <c r="M347" s="6">
        <f t="shared" si="16"/>
        <v>59.75</v>
      </c>
      <c r="N347" t="str">
        <f t="shared" si="17"/>
        <v>Robusta</v>
      </c>
      <c r="O347" t="str">
        <f t="shared" si="15"/>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_xlfn.XLOOKUP(C348,customers!$A$2:$A$1001,customers!$B$2:$B$1001,,0)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 MATCH(orders!$D348, products!$A$1:$A$49, 0), MATCH(orders!I$1, products!$A$1:$G$1, 0))</f>
        <v>Ara</v>
      </c>
      <c r="J348" t="str">
        <f>INDEX(products!$A$1:$G$49, MATCH(orders!$D348, products!$A$1:$A$49, 0), MATCH(orders!J$1, products!$A$1:$G$1, 0))</f>
        <v>L</v>
      </c>
      <c r="K348" s="5">
        <f>INDEX(products!$A$1:$G$49, MATCH(orders!$D348, products!$A$1:$A$49, 0), MATCH(orders!K$1, products!$A$1:$G$1, 0))</f>
        <v>0.5</v>
      </c>
      <c r="L348" s="6">
        <f>INDEX(products!$A$1:$G$49, MATCH(orders!$D348, products!$A$1:$A$49, 0), MATCH(orders!L$1, products!$A$1:$G$1, 0))</f>
        <v>7.77</v>
      </c>
      <c r="M348" s="6">
        <f t="shared" si="16"/>
        <v>23.31</v>
      </c>
      <c r="N348" t="str">
        <f t="shared" si="17"/>
        <v>Arabica</v>
      </c>
      <c r="O348" t="str">
        <f t="shared" si="15"/>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_xlfn.XLOOKUP(C349,customers!$A$2:$A$1001,customers!$B$2:$B$1001,,0)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 MATCH(orders!$D349, products!$A$1:$A$49, 0), MATCH(orders!I$1, products!$A$1:$G$1, 0))</f>
        <v>Lib</v>
      </c>
      <c r="J349" t="str">
        <f>INDEX(products!$A$1:$G$49, MATCH(orders!$D349, products!$A$1:$A$49, 0), MATCH(orders!J$1, products!$A$1:$G$1, 0))</f>
        <v>M</v>
      </c>
      <c r="K349" s="5">
        <f>INDEX(products!$A$1:$G$49, MATCH(orders!$D349, products!$A$1:$A$49, 0), MATCH(orders!K$1, products!$A$1:$G$1, 0))</f>
        <v>1</v>
      </c>
      <c r="L349" s="6">
        <f>INDEX(products!$A$1:$G$49, MATCH(orders!$D349, products!$A$1:$A$49, 0), MATCH(orders!L$1, products!$A$1:$G$1, 0))</f>
        <v>14.55</v>
      </c>
      <c r="M349" s="6">
        <f t="shared" si="16"/>
        <v>43.650000000000006</v>
      </c>
      <c r="N349" t="str">
        <f t="shared" si="17"/>
        <v>Liberica</v>
      </c>
      <c r="O349" t="str">
        <f t="shared" si="15"/>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_xlfn.XLOOKUP(C350,customers!$A$2:$A$1001,customers!$B$2:$B$1001,,0)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 MATCH(orders!$D350, products!$A$1:$A$49, 0), MATCH(orders!I$1, products!$A$1:$G$1, 0))</f>
        <v>Exc</v>
      </c>
      <c r="J350" t="str">
        <f>INDEX(products!$A$1:$G$49, MATCH(orders!$D350, products!$A$1:$A$49, 0), MATCH(orders!J$1, products!$A$1:$G$1, 0))</f>
        <v>L</v>
      </c>
      <c r="K350" s="5">
        <f>INDEX(products!$A$1:$G$49, MATCH(orders!$D350, products!$A$1:$A$49, 0), MATCH(orders!K$1, products!$A$1:$G$1, 0))</f>
        <v>2.5</v>
      </c>
      <c r="L350" s="6">
        <f>INDEX(products!$A$1:$G$49, MATCH(orders!$D350, products!$A$1:$A$49, 0), MATCH(orders!L$1, products!$A$1:$G$1, 0))</f>
        <v>34.154999999999994</v>
      </c>
      <c r="M350" s="6">
        <f t="shared" si="16"/>
        <v>204.92999999999995</v>
      </c>
      <c r="N350" t="str">
        <f t="shared" si="17"/>
        <v>Excelsa</v>
      </c>
      <c r="O350" t="str">
        <f t="shared" si="15"/>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_xlfn.XLOOKUP(C351,customers!$A$2:$A$1001,customers!$B$2:$B$1001,,0)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 MATCH(orders!$D351, products!$A$1:$A$49, 0), MATCH(orders!I$1, products!$A$1:$G$1, 0))</f>
        <v>Rob</v>
      </c>
      <c r="J351" t="str">
        <f>INDEX(products!$A$1:$G$49, MATCH(orders!$D351, products!$A$1:$A$49, 0), MATCH(orders!J$1, products!$A$1:$G$1, 0))</f>
        <v>L</v>
      </c>
      <c r="K351" s="5">
        <f>INDEX(products!$A$1:$G$49, MATCH(orders!$D351, products!$A$1:$A$49, 0), MATCH(orders!K$1, products!$A$1:$G$1, 0))</f>
        <v>0.2</v>
      </c>
      <c r="L351" s="6">
        <f>INDEX(products!$A$1:$G$49, MATCH(orders!$D351, products!$A$1:$A$49, 0), MATCH(orders!L$1, products!$A$1:$G$1, 0))</f>
        <v>3.5849999999999995</v>
      </c>
      <c r="M351" s="6">
        <f t="shared" si="16"/>
        <v>14.339999999999998</v>
      </c>
      <c r="N351" t="str">
        <f t="shared" si="17"/>
        <v>Robusta</v>
      </c>
      <c r="O351" t="str">
        <f t="shared" si="15"/>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_xlfn.XLOOKUP(C352,customers!$A$2:$A$1001,customers!$B$2:$B$1001,,0)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 MATCH(orders!$D352, products!$A$1:$A$49, 0), MATCH(orders!I$1, products!$A$1:$G$1, 0))</f>
        <v>Ara</v>
      </c>
      <c r="J352" t="str">
        <f>INDEX(products!$A$1:$G$49, MATCH(orders!$D352, products!$A$1:$A$49, 0), MATCH(orders!J$1, products!$A$1:$G$1, 0))</f>
        <v>D</v>
      </c>
      <c r="K352" s="5">
        <f>INDEX(products!$A$1:$G$49, MATCH(orders!$D352, products!$A$1:$A$49, 0), MATCH(orders!K$1, products!$A$1:$G$1, 0))</f>
        <v>0.5</v>
      </c>
      <c r="L352" s="6">
        <f>INDEX(products!$A$1:$G$49, MATCH(orders!$D352, products!$A$1:$A$49, 0), MATCH(orders!L$1, products!$A$1:$G$1, 0))</f>
        <v>5.97</v>
      </c>
      <c r="M352" s="6">
        <f t="shared" si="16"/>
        <v>23.88</v>
      </c>
      <c r="N352" t="str">
        <f t="shared" si="17"/>
        <v>Arabica</v>
      </c>
      <c r="O352" t="str">
        <f t="shared" si="15"/>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_xlfn.XLOOKUP(C353,customers!$A$2:$A$1001,customers!$B$2:$B$1001,,0)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 MATCH(orders!$D353, products!$A$1:$A$49, 0), MATCH(orders!I$1, products!$A$1:$G$1, 0))</f>
        <v>Ara</v>
      </c>
      <c r="J353" t="str">
        <f>INDEX(products!$A$1:$G$49, MATCH(orders!$D353, products!$A$1:$A$49, 0), MATCH(orders!J$1, products!$A$1:$G$1, 0))</f>
        <v>M</v>
      </c>
      <c r="K353" s="5">
        <f>INDEX(products!$A$1:$G$49, MATCH(orders!$D353, products!$A$1:$A$49, 0), MATCH(orders!K$1, products!$A$1:$G$1, 0))</f>
        <v>1</v>
      </c>
      <c r="L353" s="6">
        <f>INDEX(products!$A$1:$G$49, MATCH(orders!$D353, products!$A$1:$A$49, 0), MATCH(orders!L$1, products!$A$1:$G$1, 0))</f>
        <v>11.25</v>
      </c>
      <c r="M353" s="6">
        <f t="shared" si="16"/>
        <v>22.5</v>
      </c>
      <c r="N353" t="str">
        <f t="shared" si="17"/>
        <v>Arabica</v>
      </c>
      <c r="O353" t="str">
        <f t="shared" si="15"/>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_xlfn.XLOOKUP(C354,customers!$A$2:$A$1001,customers!$B$2:$B$1001,,0)</f>
        <v>Flynn Antony</v>
      </c>
      <c r="G354" s="2" t="str">
        <f>IF(_xlfn.XLOOKUP(C354,customers!$A$1:$A$1001,customers!$C$1:$C$1001,,0)=0,"",_xlfn.XLOOKUP(C354,customers!$A$1:$A$1001,customers!$C$1:$C$1001,,0))</f>
        <v/>
      </c>
      <c r="H354" s="2" t="str">
        <f>_xlfn.XLOOKUP(C354,customers!$A$1:$A$1001,customers!$G$1:$G$1001,,0)</f>
        <v>United States</v>
      </c>
      <c r="I354" t="str">
        <f>INDEX(products!$A$1:$G$49, MATCH(orders!$D354, products!$A$1:$A$49, 0), MATCH(orders!I$1, products!$A$1:$G$1, 0))</f>
        <v>Exc</v>
      </c>
      <c r="J354" t="str">
        <f>INDEX(products!$A$1:$G$49, MATCH(orders!$D354, products!$A$1:$A$49, 0), MATCH(orders!J$1, products!$A$1:$G$1, 0))</f>
        <v>D</v>
      </c>
      <c r="K354" s="5">
        <f>INDEX(products!$A$1:$G$49, MATCH(orders!$D354, products!$A$1:$A$49, 0), MATCH(orders!K$1, products!$A$1:$G$1, 0))</f>
        <v>0.5</v>
      </c>
      <c r="L354" s="6">
        <f>INDEX(products!$A$1:$G$49, MATCH(orders!$D354, products!$A$1:$A$49, 0), MATCH(orders!L$1, products!$A$1:$G$1, 0))</f>
        <v>7.29</v>
      </c>
      <c r="M354" s="6">
        <f t="shared" si="16"/>
        <v>36.450000000000003</v>
      </c>
      <c r="N354" t="str">
        <f t="shared" si="17"/>
        <v>Excelsa</v>
      </c>
      <c r="O354" t="str">
        <f t="shared" si="15"/>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_xlfn.XLOOKUP(C355,customers!$A$2:$A$1001,customers!$B$2:$B$1001,,0)</f>
        <v>Maitilde Boxill</v>
      </c>
      <c r="G355" s="2" t="str">
        <f>IF(_xlfn.XLOOKUP(C355,customers!$A$1:$A$1001,customers!$C$1:$C$1001,,0)=0,"",_xlfn.XLOOKUP(C355,customers!$A$1:$A$1001,customers!$C$1:$C$1001,,0))</f>
        <v/>
      </c>
      <c r="H355" s="2" t="str">
        <f>_xlfn.XLOOKUP(C355,customers!$A$1:$A$1001,customers!$G$1:$G$1001,,0)</f>
        <v>United States</v>
      </c>
      <c r="I355" t="str">
        <f>INDEX(products!$A$1:$G$49, MATCH(orders!$D355, products!$A$1:$A$49, 0), MATCH(orders!I$1, products!$A$1:$G$1, 0))</f>
        <v>Ara</v>
      </c>
      <c r="J355" t="str">
        <f>INDEX(products!$A$1:$G$49, MATCH(orders!$D355, products!$A$1:$A$49, 0), MATCH(orders!J$1, products!$A$1:$G$1, 0))</f>
        <v>M</v>
      </c>
      <c r="K355" s="5">
        <f>INDEX(products!$A$1:$G$49, MATCH(orders!$D355, products!$A$1:$A$49, 0), MATCH(orders!K$1, products!$A$1:$G$1, 0))</f>
        <v>0.5</v>
      </c>
      <c r="L355" s="6">
        <f>INDEX(products!$A$1:$G$49, MATCH(orders!$D355, products!$A$1:$A$49, 0), MATCH(orders!L$1, products!$A$1:$G$1, 0))</f>
        <v>6.75</v>
      </c>
      <c r="M355" s="6">
        <f t="shared" si="16"/>
        <v>27</v>
      </c>
      <c r="N355" t="str">
        <f t="shared" si="17"/>
        <v>Arabica</v>
      </c>
      <c r="O355" t="str">
        <f t="shared" si="15"/>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_xlfn.XLOOKUP(C356,customers!$A$2:$A$1001,customers!$B$2:$B$1001,,0)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 MATCH(orders!$D356, products!$A$1:$A$49, 0), MATCH(orders!I$1, products!$A$1:$G$1, 0))</f>
        <v>Ara</v>
      </c>
      <c r="J356" t="str">
        <f>INDEX(products!$A$1:$G$49, MATCH(orders!$D356, products!$A$1:$A$49, 0), MATCH(orders!J$1, products!$A$1:$G$1, 0))</f>
        <v>M</v>
      </c>
      <c r="K356" s="5">
        <f>INDEX(products!$A$1:$G$49, MATCH(orders!$D356, products!$A$1:$A$49, 0), MATCH(orders!K$1, products!$A$1:$G$1, 0))</f>
        <v>2.5</v>
      </c>
      <c r="L356" s="6">
        <f>INDEX(products!$A$1:$G$49, MATCH(orders!$D356, products!$A$1:$A$49, 0), MATCH(orders!L$1, products!$A$1:$G$1, 0))</f>
        <v>25.874999999999996</v>
      </c>
      <c r="M356" s="6">
        <f t="shared" si="16"/>
        <v>155.24999999999997</v>
      </c>
      <c r="N356" t="str">
        <f t="shared" si="17"/>
        <v>Arabica</v>
      </c>
      <c r="O356" t="str">
        <f t="shared" si="15"/>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_xlfn.XLOOKUP(C357,customers!$A$2:$A$1001,customers!$B$2:$B$1001,,0)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 MATCH(orders!$D357, products!$A$1:$A$49, 0), MATCH(orders!I$1, products!$A$1:$G$1, 0))</f>
        <v>Ara</v>
      </c>
      <c r="J357" t="str">
        <f>INDEX(products!$A$1:$G$49, MATCH(orders!$D357, products!$A$1:$A$49, 0), MATCH(orders!J$1, products!$A$1:$G$1, 0))</f>
        <v>D</v>
      </c>
      <c r="K357" s="5">
        <f>INDEX(products!$A$1:$G$49, MATCH(orders!$D357, products!$A$1:$A$49, 0), MATCH(orders!K$1, products!$A$1:$G$1, 0))</f>
        <v>2.5</v>
      </c>
      <c r="L357" s="6">
        <f>INDEX(products!$A$1:$G$49, MATCH(orders!$D357, products!$A$1:$A$49, 0), MATCH(orders!L$1, products!$A$1:$G$1, 0))</f>
        <v>22.884999999999998</v>
      </c>
      <c r="M357" s="6">
        <f t="shared" si="16"/>
        <v>114.42499999999998</v>
      </c>
      <c r="N357" t="str">
        <f t="shared" si="17"/>
        <v>Arabica</v>
      </c>
      <c r="O357" t="str">
        <f t="shared" si="15"/>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_xlfn.XLOOKUP(C358,customers!$A$2:$A$1001,customers!$B$2:$B$1001,,0)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 MATCH(orders!$D358, products!$A$1:$A$49, 0), MATCH(orders!I$1, products!$A$1:$G$1, 0))</f>
        <v>Lib</v>
      </c>
      <c r="J358" t="str">
        <f>INDEX(products!$A$1:$G$49, MATCH(orders!$D358, products!$A$1:$A$49, 0), MATCH(orders!J$1, products!$A$1:$G$1, 0))</f>
        <v>D</v>
      </c>
      <c r="K358" s="5">
        <f>INDEX(products!$A$1:$G$49, MATCH(orders!$D358, products!$A$1:$A$49, 0), MATCH(orders!K$1, products!$A$1:$G$1, 0))</f>
        <v>1</v>
      </c>
      <c r="L358" s="6">
        <f>INDEX(products!$A$1:$G$49, MATCH(orders!$D358, products!$A$1:$A$49, 0), MATCH(orders!L$1, products!$A$1:$G$1, 0))</f>
        <v>12.95</v>
      </c>
      <c r="M358" s="6">
        <f t="shared" si="16"/>
        <v>51.8</v>
      </c>
      <c r="N358" t="str">
        <f t="shared" si="17"/>
        <v>Liberica</v>
      </c>
      <c r="O358" t="str">
        <f t="shared" si="15"/>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_xlfn.XLOOKUP(C359,customers!$A$2:$A$1001,customers!$B$2:$B$1001,,0)</f>
        <v>Enriqueta Ixor</v>
      </c>
      <c r="G359" s="2" t="str">
        <f>IF(_xlfn.XLOOKUP(C359,customers!$A$1:$A$1001,customers!$C$1:$C$1001,,0)=0,"",_xlfn.XLOOKUP(C359,customers!$A$1:$A$1001,customers!$C$1:$C$1001,,0))</f>
        <v/>
      </c>
      <c r="H359" s="2" t="str">
        <f>_xlfn.XLOOKUP(C359,customers!$A$1:$A$1001,customers!$G$1:$G$1001,,0)</f>
        <v>United States</v>
      </c>
      <c r="I359" t="str">
        <f>INDEX(products!$A$1:$G$49, MATCH(orders!$D359, products!$A$1:$A$49, 0), MATCH(orders!I$1, products!$A$1:$G$1, 0))</f>
        <v>Ara</v>
      </c>
      <c r="J359" t="str">
        <f>INDEX(products!$A$1:$G$49, MATCH(orders!$D359, products!$A$1:$A$49, 0), MATCH(orders!J$1, products!$A$1:$G$1, 0))</f>
        <v>M</v>
      </c>
      <c r="K359" s="5">
        <f>INDEX(products!$A$1:$G$49, MATCH(orders!$D359, products!$A$1:$A$49, 0), MATCH(orders!K$1, products!$A$1:$G$1, 0))</f>
        <v>2.5</v>
      </c>
      <c r="L359" s="6">
        <f>INDEX(products!$A$1:$G$49, MATCH(orders!$D359, products!$A$1:$A$49, 0), MATCH(orders!L$1, products!$A$1:$G$1, 0))</f>
        <v>25.874999999999996</v>
      </c>
      <c r="M359" s="6">
        <f t="shared" si="16"/>
        <v>155.24999999999997</v>
      </c>
      <c r="N359" t="str">
        <f t="shared" si="17"/>
        <v>Arabica</v>
      </c>
      <c r="O359" t="str">
        <f t="shared" si="15"/>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_xlfn.XLOOKUP(C360,customers!$A$2:$A$1001,customers!$B$2:$B$1001,,0)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 MATCH(orders!$D360, products!$A$1:$A$49, 0), MATCH(orders!I$1, products!$A$1:$G$1, 0))</f>
        <v>Ara</v>
      </c>
      <c r="J360" t="str">
        <f>INDEX(products!$A$1:$G$49, MATCH(orders!$D360, products!$A$1:$A$49, 0), MATCH(orders!J$1, products!$A$1:$G$1, 0))</f>
        <v>L</v>
      </c>
      <c r="K360" s="5">
        <f>INDEX(products!$A$1:$G$49, MATCH(orders!$D360, products!$A$1:$A$49, 0), MATCH(orders!K$1, products!$A$1:$G$1, 0))</f>
        <v>2.5</v>
      </c>
      <c r="L360" s="6">
        <f>INDEX(products!$A$1:$G$49, MATCH(orders!$D360, products!$A$1:$A$49, 0), MATCH(orders!L$1, products!$A$1:$G$1, 0))</f>
        <v>29.784999999999997</v>
      </c>
      <c r="M360" s="6">
        <f t="shared" si="16"/>
        <v>29.784999999999997</v>
      </c>
      <c r="N360" t="str">
        <f t="shared" si="17"/>
        <v>Arabica</v>
      </c>
      <c r="O360" t="str">
        <f t="shared" si="15"/>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_xlfn.XLOOKUP(C361,customers!$A$2:$A$1001,customers!$B$2:$B$1001,,0)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 MATCH(orders!$D361, products!$A$1:$A$49, 0), MATCH(orders!I$1, products!$A$1:$G$1, 0))</f>
        <v>Rob</v>
      </c>
      <c r="J361" t="str">
        <f>INDEX(products!$A$1:$G$49, MATCH(orders!$D361, products!$A$1:$A$49, 0), MATCH(orders!J$1, products!$A$1:$G$1, 0))</f>
        <v>L</v>
      </c>
      <c r="K361" s="5">
        <f>INDEX(products!$A$1:$G$49, MATCH(orders!$D361, products!$A$1:$A$49, 0), MATCH(orders!K$1, products!$A$1:$G$1, 0))</f>
        <v>0.2</v>
      </c>
      <c r="L361" s="6">
        <f>INDEX(products!$A$1:$G$49, MATCH(orders!$D361, products!$A$1:$A$49, 0), MATCH(orders!L$1, products!$A$1:$G$1, 0))</f>
        <v>3.5849999999999995</v>
      </c>
      <c r="M361" s="6">
        <f t="shared" si="16"/>
        <v>21.509999999999998</v>
      </c>
      <c r="N361" t="str">
        <f t="shared" si="17"/>
        <v>Robusta</v>
      </c>
      <c r="O361" t="str">
        <f t="shared" si="15"/>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_xlfn.XLOOKUP(C362,customers!$A$2:$A$1001,customers!$B$2:$B$1001,,0)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 MATCH(orders!$D362, products!$A$1:$A$49, 0), MATCH(orders!I$1, products!$A$1:$G$1, 0))</f>
        <v>Rob</v>
      </c>
      <c r="J362" t="str">
        <f>INDEX(products!$A$1:$G$49, MATCH(orders!$D362, products!$A$1:$A$49, 0), MATCH(orders!J$1, products!$A$1:$G$1, 0))</f>
        <v>D</v>
      </c>
      <c r="K362" s="5">
        <f>INDEX(products!$A$1:$G$49, MATCH(orders!$D362, products!$A$1:$A$49, 0), MATCH(orders!K$1, products!$A$1:$G$1, 0))</f>
        <v>2.5</v>
      </c>
      <c r="L362" s="6">
        <f>INDEX(products!$A$1:$G$49, MATCH(orders!$D362, products!$A$1:$A$49, 0), MATCH(orders!L$1, products!$A$1:$G$1, 0))</f>
        <v>20.584999999999997</v>
      </c>
      <c r="M362" s="6">
        <f t="shared" si="16"/>
        <v>41.169999999999995</v>
      </c>
      <c r="N362" t="str">
        <f t="shared" si="17"/>
        <v>Robusta</v>
      </c>
      <c r="O362" t="str">
        <f t="shared" si="15"/>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_xlfn.XLOOKUP(C363,customers!$A$2:$A$1001,customers!$B$2:$B$1001,,0)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 MATCH(orders!$D363, products!$A$1:$A$49, 0), MATCH(orders!I$1, products!$A$1:$G$1, 0))</f>
        <v>Rob</v>
      </c>
      <c r="J363" t="str">
        <f>INDEX(products!$A$1:$G$49, MATCH(orders!$D363, products!$A$1:$A$49, 0), MATCH(orders!J$1, products!$A$1:$G$1, 0))</f>
        <v>M</v>
      </c>
      <c r="K363" s="5">
        <f>INDEX(products!$A$1:$G$49, MATCH(orders!$D363, products!$A$1:$A$49, 0), MATCH(orders!K$1, products!$A$1:$G$1, 0))</f>
        <v>0.5</v>
      </c>
      <c r="L363" s="6">
        <f>INDEX(products!$A$1:$G$49, MATCH(orders!$D363, products!$A$1:$A$49, 0), MATCH(orders!L$1, products!$A$1:$G$1, 0))</f>
        <v>5.97</v>
      </c>
      <c r="M363" s="6">
        <f t="shared" si="16"/>
        <v>5.97</v>
      </c>
      <c r="N363" t="str">
        <f t="shared" si="17"/>
        <v>Robusta</v>
      </c>
      <c r="O363" t="str">
        <f t="shared" si="15"/>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_xlfn.XLOOKUP(C364,customers!$A$2:$A$1001,customers!$B$2:$B$1001,,0)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 MATCH(orders!$D364, products!$A$1:$A$49, 0), MATCH(orders!I$1, products!$A$1:$G$1, 0))</f>
        <v>Exc</v>
      </c>
      <c r="J364" t="str">
        <f>INDEX(products!$A$1:$G$49, MATCH(orders!$D364, products!$A$1:$A$49, 0), MATCH(orders!J$1, products!$A$1:$G$1, 0))</f>
        <v>L</v>
      </c>
      <c r="K364" s="5">
        <f>INDEX(products!$A$1:$G$49, MATCH(orders!$D364, products!$A$1:$A$49, 0), MATCH(orders!K$1, products!$A$1:$G$1, 0))</f>
        <v>1</v>
      </c>
      <c r="L364" s="6">
        <f>INDEX(products!$A$1:$G$49, MATCH(orders!$D364, products!$A$1:$A$49, 0), MATCH(orders!L$1, products!$A$1:$G$1, 0))</f>
        <v>14.85</v>
      </c>
      <c r="M364" s="6">
        <f t="shared" si="16"/>
        <v>74.25</v>
      </c>
      <c r="N364" t="str">
        <f t="shared" si="17"/>
        <v>Excelsa</v>
      </c>
      <c r="O364" t="str">
        <f t="shared" si="15"/>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_xlfn.XLOOKUP(C365,customers!$A$2:$A$1001,customers!$B$2:$B$1001,,0)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 MATCH(orders!$D365, products!$A$1:$A$49, 0), MATCH(orders!I$1, products!$A$1:$G$1, 0))</f>
        <v>Lib</v>
      </c>
      <c r="J365" t="str">
        <f>INDEX(products!$A$1:$G$49, MATCH(orders!$D365, products!$A$1:$A$49, 0), MATCH(orders!J$1, products!$A$1:$G$1, 0))</f>
        <v>M</v>
      </c>
      <c r="K365" s="5">
        <f>INDEX(products!$A$1:$G$49, MATCH(orders!$D365, products!$A$1:$A$49, 0), MATCH(orders!K$1, products!$A$1:$G$1, 0))</f>
        <v>1</v>
      </c>
      <c r="L365" s="6">
        <f>INDEX(products!$A$1:$G$49, MATCH(orders!$D365, products!$A$1:$A$49, 0), MATCH(orders!L$1, products!$A$1:$G$1, 0))</f>
        <v>14.55</v>
      </c>
      <c r="M365" s="6">
        <f t="shared" si="16"/>
        <v>87.300000000000011</v>
      </c>
      <c r="N365" t="str">
        <f t="shared" si="17"/>
        <v>Liberica</v>
      </c>
      <c r="O365" t="str">
        <f t="shared" si="15"/>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_xlfn.XLOOKUP(C366,customers!$A$2:$A$1001,customers!$B$2:$B$1001,,0)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 MATCH(orders!$D366, products!$A$1:$A$49, 0), MATCH(orders!I$1, products!$A$1:$G$1, 0))</f>
        <v>Exc</v>
      </c>
      <c r="J366" t="str">
        <f>INDEX(products!$A$1:$G$49, MATCH(orders!$D366, products!$A$1:$A$49, 0), MATCH(orders!J$1, products!$A$1:$G$1, 0))</f>
        <v>D</v>
      </c>
      <c r="K366" s="5">
        <f>INDEX(products!$A$1:$G$49, MATCH(orders!$D366, products!$A$1:$A$49, 0), MATCH(orders!K$1, products!$A$1:$G$1, 0))</f>
        <v>1</v>
      </c>
      <c r="L366" s="6">
        <f>INDEX(products!$A$1:$G$49, MATCH(orders!$D366, products!$A$1:$A$49, 0), MATCH(orders!L$1, products!$A$1:$G$1, 0))</f>
        <v>12.15</v>
      </c>
      <c r="M366" s="6">
        <f t="shared" si="16"/>
        <v>72.900000000000006</v>
      </c>
      <c r="N366" t="str">
        <f t="shared" si="17"/>
        <v>Excelsa</v>
      </c>
      <c r="O366" t="str">
        <f t="shared" si="15"/>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_xlfn.XLOOKUP(C367,customers!$A$2:$A$1001,customers!$B$2:$B$1001,,0)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 MATCH(orders!$D367, products!$A$1:$A$49, 0), MATCH(orders!I$1, products!$A$1:$G$1, 0))</f>
        <v>Lib</v>
      </c>
      <c r="J367" t="str">
        <f>INDEX(products!$A$1:$G$49, MATCH(orders!$D367, products!$A$1:$A$49, 0), MATCH(orders!J$1, products!$A$1:$G$1, 0))</f>
        <v>D</v>
      </c>
      <c r="K367" s="5">
        <f>INDEX(products!$A$1:$G$49, MATCH(orders!$D367, products!$A$1:$A$49, 0), MATCH(orders!K$1, products!$A$1:$G$1, 0))</f>
        <v>0.5</v>
      </c>
      <c r="L367" s="6">
        <f>INDEX(products!$A$1:$G$49, MATCH(orders!$D367, products!$A$1:$A$49, 0), MATCH(orders!L$1, products!$A$1:$G$1, 0))</f>
        <v>7.77</v>
      </c>
      <c r="M367" s="6">
        <f t="shared" si="16"/>
        <v>7.77</v>
      </c>
      <c r="N367" t="str">
        <f t="shared" si="17"/>
        <v>Liberica</v>
      </c>
      <c r="O367" t="str">
        <f t="shared" si="15"/>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_xlfn.XLOOKUP(C368,customers!$A$2:$A$1001,customers!$B$2:$B$1001,,0)</f>
        <v>Saree Ellesworth</v>
      </c>
      <c r="G368" s="2" t="str">
        <f>IF(_xlfn.XLOOKUP(C368,customers!$A$1:$A$1001,customers!$C$1:$C$1001,,0)=0,"",_xlfn.XLOOKUP(C368,customers!$A$1:$A$1001,customers!$C$1:$C$1001,,0))</f>
        <v/>
      </c>
      <c r="H368" s="2" t="str">
        <f>_xlfn.XLOOKUP(C368,customers!$A$1:$A$1001,customers!$G$1:$G$1001,,0)</f>
        <v>United States</v>
      </c>
      <c r="I368" t="str">
        <f>INDEX(products!$A$1:$G$49, MATCH(orders!$D368, products!$A$1:$A$49, 0), MATCH(orders!I$1, products!$A$1:$G$1, 0))</f>
        <v>Exc</v>
      </c>
      <c r="J368" t="str">
        <f>INDEX(products!$A$1:$G$49, MATCH(orders!$D368, products!$A$1:$A$49, 0), MATCH(orders!J$1, products!$A$1:$G$1, 0))</f>
        <v>D</v>
      </c>
      <c r="K368" s="5">
        <f>INDEX(products!$A$1:$G$49, MATCH(orders!$D368, products!$A$1:$A$49, 0), MATCH(orders!K$1, products!$A$1:$G$1, 0))</f>
        <v>0.5</v>
      </c>
      <c r="L368" s="6">
        <f>INDEX(products!$A$1:$G$49, MATCH(orders!$D368, products!$A$1:$A$49, 0), MATCH(orders!L$1, products!$A$1:$G$1, 0))</f>
        <v>7.29</v>
      </c>
      <c r="M368" s="6">
        <f t="shared" si="16"/>
        <v>43.74</v>
      </c>
      <c r="N368" t="str">
        <f t="shared" si="17"/>
        <v>Excelsa</v>
      </c>
      <c r="O368" t="str">
        <f t="shared" si="15"/>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_xlfn.XLOOKUP(C369,customers!$A$2:$A$1001,customers!$B$2:$B$1001,,0)</f>
        <v>Silvio Iorizzi</v>
      </c>
      <c r="G369" s="2" t="str">
        <f>IF(_xlfn.XLOOKUP(C369,customers!$A$1:$A$1001,customers!$C$1:$C$1001,,0)=0,"",_xlfn.XLOOKUP(C369,customers!$A$1:$A$1001,customers!$C$1:$C$1001,,0))</f>
        <v/>
      </c>
      <c r="H369" s="2" t="str">
        <f>_xlfn.XLOOKUP(C369,customers!$A$1:$A$1001,customers!$G$1:$G$1001,,0)</f>
        <v>United States</v>
      </c>
      <c r="I369" t="str">
        <f>INDEX(products!$A$1:$G$49, MATCH(orders!$D369, products!$A$1:$A$49, 0), MATCH(orders!I$1, products!$A$1:$G$1, 0))</f>
        <v>Lib</v>
      </c>
      <c r="J369" t="str">
        <f>INDEX(products!$A$1:$G$49, MATCH(orders!$D369, products!$A$1:$A$49, 0), MATCH(orders!J$1, products!$A$1:$G$1, 0))</f>
        <v>M</v>
      </c>
      <c r="K369" s="5">
        <f>INDEX(products!$A$1:$G$49, MATCH(orders!$D369, products!$A$1:$A$49, 0), MATCH(orders!K$1, products!$A$1:$G$1, 0))</f>
        <v>0.2</v>
      </c>
      <c r="L369" s="6">
        <f>INDEX(products!$A$1:$G$49, MATCH(orders!$D369, products!$A$1:$A$49, 0), MATCH(orders!L$1, products!$A$1:$G$1, 0))</f>
        <v>4.3650000000000002</v>
      </c>
      <c r="M369" s="6">
        <f t="shared" si="16"/>
        <v>8.73</v>
      </c>
      <c r="N369" t="str">
        <f t="shared" si="17"/>
        <v>Liberica</v>
      </c>
      <c r="O369" t="str">
        <f t="shared" si="15"/>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_xlfn.XLOOKUP(C370,customers!$A$2:$A$1001,customers!$B$2:$B$1001,,0)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 MATCH(orders!$D370, products!$A$1:$A$49, 0), MATCH(orders!I$1, products!$A$1:$G$1, 0))</f>
        <v>Exc</v>
      </c>
      <c r="J370" t="str">
        <f>INDEX(products!$A$1:$G$49, MATCH(orders!$D370, products!$A$1:$A$49, 0), MATCH(orders!J$1, products!$A$1:$G$1, 0))</f>
        <v>M</v>
      </c>
      <c r="K370" s="5">
        <f>INDEX(products!$A$1:$G$49, MATCH(orders!$D370, products!$A$1:$A$49, 0), MATCH(orders!K$1, products!$A$1:$G$1, 0))</f>
        <v>2.5</v>
      </c>
      <c r="L370" s="6">
        <f>INDEX(products!$A$1:$G$49, MATCH(orders!$D370, products!$A$1:$A$49, 0), MATCH(orders!L$1, products!$A$1:$G$1, 0))</f>
        <v>31.624999999999996</v>
      </c>
      <c r="M370" s="6">
        <f t="shared" si="16"/>
        <v>63.249999999999993</v>
      </c>
      <c r="N370" t="str">
        <f t="shared" si="17"/>
        <v>Excelsa</v>
      </c>
      <c r="O370" t="str">
        <f t="shared" si="15"/>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_xlfn.XLOOKUP(C371,customers!$A$2:$A$1001,customers!$B$2:$B$1001,,0)</f>
        <v>Abba Pummell</v>
      </c>
      <c r="G371" s="2" t="str">
        <f>IF(_xlfn.XLOOKUP(C371,customers!$A$1:$A$1001,customers!$C$1:$C$1001,,0)=0,"",_xlfn.XLOOKUP(C371,customers!$A$1:$A$1001,customers!$C$1:$C$1001,,0))</f>
        <v/>
      </c>
      <c r="H371" s="2" t="str">
        <f>_xlfn.XLOOKUP(C371,customers!$A$1:$A$1001,customers!$G$1:$G$1001,,0)</f>
        <v>United States</v>
      </c>
      <c r="I371" t="str">
        <f>INDEX(products!$A$1:$G$49, MATCH(orders!$D371, products!$A$1:$A$49, 0), MATCH(orders!I$1, products!$A$1:$G$1, 0))</f>
        <v>Exc</v>
      </c>
      <c r="J371" t="str">
        <f>INDEX(products!$A$1:$G$49, MATCH(orders!$D371, products!$A$1:$A$49, 0), MATCH(orders!J$1, products!$A$1:$G$1, 0))</f>
        <v>L</v>
      </c>
      <c r="K371" s="5">
        <f>INDEX(products!$A$1:$G$49, MATCH(orders!$D371, products!$A$1:$A$49, 0), MATCH(orders!K$1, products!$A$1:$G$1, 0))</f>
        <v>0.5</v>
      </c>
      <c r="L371" s="6">
        <f>INDEX(products!$A$1:$G$49, MATCH(orders!$D371, products!$A$1:$A$49, 0), MATCH(orders!L$1, products!$A$1:$G$1, 0))</f>
        <v>8.91</v>
      </c>
      <c r="M371" s="6">
        <f t="shared" si="16"/>
        <v>8.91</v>
      </c>
      <c r="N371" t="str">
        <f t="shared" si="17"/>
        <v>Excelsa</v>
      </c>
      <c r="O371" t="str">
        <f t="shared" si="15"/>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_xlfn.XLOOKUP(C372,customers!$A$2:$A$1001,customers!$B$2:$B$1001,,0)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 MATCH(orders!$D372, products!$A$1:$A$49, 0), MATCH(orders!I$1, products!$A$1:$G$1, 0))</f>
        <v>Exc</v>
      </c>
      <c r="J372" t="str">
        <f>INDEX(products!$A$1:$G$49, MATCH(orders!$D372, products!$A$1:$A$49, 0), MATCH(orders!J$1, products!$A$1:$G$1, 0))</f>
        <v>D</v>
      </c>
      <c r="K372" s="5">
        <f>INDEX(products!$A$1:$G$49, MATCH(orders!$D372, products!$A$1:$A$49, 0), MATCH(orders!K$1, products!$A$1:$G$1, 0))</f>
        <v>1</v>
      </c>
      <c r="L372" s="6">
        <f>INDEX(products!$A$1:$G$49, MATCH(orders!$D372, products!$A$1:$A$49, 0), MATCH(orders!L$1, products!$A$1:$G$1, 0))</f>
        <v>12.15</v>
      </c>
      <c r="M372" s="6">
        <f t="shared" si="16"/>
        <v>24.3</v>
      </c>
      <c r="N372" t="str">
        <f t="shared" si="17"/>
        <v>Excelsa</v>
      </c>
      <c r="O372" t="str">
        <f t="shared" si="15"/>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_xlfn.XLOOKUP(C373,customers!$A$2:$A$1001,customers!$B$2:$B$1001,,0)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 MATCH(orders!$D373, products!$A$1:$A$49, 0), MATCH(orders!I$1, products!$A$1:$G$1, 0))</f>
        <v>Ara</v>
      </c>
      <c r="J373" t="str">
        <f>INDEX(products!$A$1:$G$49, MATCH(orders!$D373, products!$A$1:$A$49, 0), MATCH(orders!J$1, products!$A$1:$G$1, 0))</f>
        <v>L</v>
      </c>
      <c r="K373" s="5">
        <f>INDEX(products!$A$1:$G$49, MATCH(orders!$D373, products!$A$1:$A$49, 0), MATCH(orders!K$1, products!$A$1:$G$1, 0))</f>
        <v>0.5</v>
      </c>
      <c r="L373" s="6">
        <f>INDEX(products!$A$1:$G$49, MATCH(orders!$D373, products!$A$1:$A$49, 0), MATCH(orders!L$1, products!$A$1:$G$1, 0))</f>
        <v>7.77</v>
      </c>
      <c r="M373" s="6">
        <f t="shared" si="16"/>
        <v>46.62</v>
      </c>
      <c r="N373" t="str">
        <f t="shared" si="17"/>
        <v>Arabica</v>
      </c>
      <c r="O373" t="str">
        <f t="shared" si="15"/>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_xlfn.XLOOKUP(C374,customers!$A$2:$A$1001,customers!$B$2:$B$1001,,0)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 MATCH(orders!$D374, products!$A$1:$A$49, 0), MATCH(orders!I$1, products!$A$1:$G$1, 0))</f>
        <v>Rob</v>
      </c>
      <c r="J374" t="str">
        <f>INDEX(products!$A$1:$G$49, MATCH(orders!$D374, products!$A$1:$A$49, 0), MATCH(orders!J$1, products!$A$1:$G$1, 0))</f>
        <v>L</v>
      </c>
      <c r="K374" s="5">
        <f>INDEX(products!$A$1:$G$49, MATCH(orders!$D374, products!$A$1:$A$49, 0), MATCH(orders!K$1, products!$A$1:$G$1, 0))</f>
        <v>0.5</v>
      </c>
      <c r="L374" s="6">
        <f>INDEX(products!$A$1:$G$49, MATCH(orders!$D374, products!$A$1:$A$49, 0), MATCH(orders!L$1, products!$A$1:$G$1, 0))</f>
        <v>7.169999999999999</v>
      </c>
      <c r="M374" s="6">
        <f t="shared" si="16"/>
        <v>43.019999999999996</v>
      </c>
      <c r="N374" t="str">
        <f t="shared" si="17"/>
        <v>Robusta</v>
      </c>
      <c r="O374" t="str">
        <f t="shared" si="15"/>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_xlfn.XLOOKUP(C375,customers!$A$2:$A$1001,customers!$B$2:$B$1001,,0)</f>
        <v>Corney Curme</v>
      </c>
      <c r="G375" s="2" t="str">
        <f>IF(_xlfn.XLOOKUP(C375,customers!$A$1:$A$1001,customers!$C$1:$C$1001,,0)=0,"",_xlfn.XLOOKUP(C375,customers!$A$1:$A$1001,customers!$C$1:$C$1001,,0))</f>
        <v/>
      </c>
      <c r="H375" s="2" t="str">
        <f>_xlfn.XLOOKUP(C375,customers!$A$1:$A$1001,customers!$G$1:$G$1001,,0)</f>
        <v>Ireland</v>
      </c>
      <c r="I375" t="str">
        <f>INDEX(products!$A$1:$G$49, MATCH(orders!$D375, products!$A$1:$A$49, 0), MATCH(orders!I$1, products!$A$1:$G$1, 0))</f>
        <v>Ara</v>
      </c>
      <c r="J375" t="str">
        <f>INDEX(products!$A$1:$G$49, MATCH(orders!$D375, products!$A$1:$A$49, 0), MATCH(orders!J$1, products!$A$1:$G$1, 0))</f>
        <v>D</v>
      </c>
      <c r="K375" s="5">
        <f>INDEX(products!$A$1:$G$49, MATCH(orders!$D375, products!$A$1:$A$49, 0), MATCH(orders!K$1, products!$A$1:$G$1, 0))</f>
        <v>0.5</v>
      </c>
      <c r="L375" s="6">
        <f>INDEX(products!$A$1:$G$49, MATCH(orders!$D375, products!$A$1:$A$49, 0), MATCH(orders!L$1, products!$A$1:$G$1, 0))</f>
        <v>5.97</v>
      </c>
      <c r="M375" s="6">
        <f t="shared" si="16"/>
        <v>17.91</v>
      </c>
      <c r="N375" t="str">
        <f t="shared" si="17"/>
        <v>Arabica</v>
      </c>
      <c r="O375" t="str">
        <f t="shared" si="15"/>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_xlfn.XLOOKUP(C376,customers!$A$2:$A$1001,customers!$B$2:$B$1001,,0)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 MATCH(orders!$D376, products!$A$1:$A$49, 0), MATCH(orders!I$1, products!$A$1:$G$1, 0))</f>
        <v>Lib</v>
      </c>
      <c r="J376" t="str">
        <f>INDEX(products!$A$1:$G$49, MATCH(orders!$D376, products!$A$1:$A$49, 0), MATCH(orders!J$1, products!$A$1:$G$1, 0))</f>
        <v>L</v>
      </c>
      <c r="K376" s="5">
        <f>INDEX(products!$A$1:$G$49, MATCH(orders!$D376, products!$A$1:$A$49, 0), MATCH(orders!K$1, products!$A$1:$G$1, 0))</f>
        <v>0.5</v>
      </c>
      <c r="L376" s="6">
        <f>INDEX(products!$A$1:$G$49, MATCH(orders!$D376, products!$A$1:$A$49, 0), MATCH(orders!L$1, products!$A$1:$G$1, 0))</f>
        <v>9.51</v>
      </c>
      <c r="M376" s="6">
        <f t="shared" si="16"/>
        <v>38.04</v>
      </c>
      <c r="N376" t="str">
        <f t="shared" si="17"/>
        <v>Liberica</v>
      </c>
      <c r="O376" t="str">
        <f t="shared" si="15"/>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_xlfn.XLOOKUP(C377,customers!$A$2:$A$1001,customers!$B$2:$B$1001,,0)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 MATCH(orders!$D377, products!$A$1:$A$49, 0), MATCH(orders!I$1, products!$A$1:$G$1, 0))</f>
        <v>Ara</v>
      </c>
      <c r="J377" t="str">
        <f>INDEX(products!$A$1:$G$49, MATCH(orders!$D377, products!$A$1:$A$49, 0), MATCH(orders!J$1, products!$A$1:$G$1, 0))</f>
        <v>M</v>
      </c>
      <c r="K377" s="5">
        <f>INDEX(products!$A$1:$G$49, MATCH(orders!$D377, products!$A$1:$A$49, 0), MATCH(orders!K$1, products!$A$1:$G$1, 0))</f>
        <v>0.2</v>
      </c>
      <c r="L377" s="6">
        <f>INDEX(products!$A$1:$G$49, MATCH(orders!$D377, products!$A$1:$A$49, 0), MATCH(orders!L$1, products!$A$1:$G$1, 0))</f>
        <v>3.375</v>
      </c>
      <c r="M377" s="6">
        <f t="shared" si="16"/>
        <v>6.75</v>
      </c>
      <c r="N377" t="str">
        <f t="shared" si="17"/>
        <v>Arabica</v>
      </c>
      <c r="O377" t="str">
        <f t="shared" si="15"/>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_xlfn.XLOOKUP(C378,customers!$A$2:$A$1001,customers!$B$2:$B$1001,,0)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 MATCH(orders!$D378, products!$A$1:$A$49, 0), MATCH(orders!I$1, products!$A$1:$G$1, 0))</f>
        <v>Rob</v>
      </c>
      <c r="J378" t="str">
        <f>INDEX(products!$A$1:$G$49, MATCH(orders!$D378, products!$A$1:$A$49, 0), MATCH(orders!J$1, products!$A$1:$G$1, 0))</f>
        <v>M</v>
      </c>
      <c r="K378" s="5">
        <f>INDEX(products!$A$1:$G$49, MATCH(orders!$D378, products!$A$1:$A$49, 0), MATCH(orders!K$1, products!$A$1:$G$1, 0))</f>
        <v>0.5</v>
      </c>
      <c r="L378" s="6">
        <f>INDEX(products!$A$1:$G$49, MATCH(orders!$D378, products!$A$1:$A$49, 0), MATCH(orders!L$1, products!$A$1:$G$1, 0))</f>
        <v>5.97</v>
      </c>
      <c r="M378" s="6">
        <f t="shared" si="16"/>
        <v>5.97</v>
      </c>
      <c r="N378" t="str">
        <f t="shared" si="17"/>
        <v>Robusta</v>
      </c>
      <c r="O378" t="str">
        <f t="shared" si="15"/>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_xlfn.XLOOKUP(C379,customers!$A$2:$A$1001,customers!$B$2:$B$1001,,0)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 MATCH(orders!$D379, products!$A$1:$A$49, 0), MATCH(orders!I$1, products!$A$1:$G$1, 0))</f>
        <v>Rob</v>
      </c>
      <c r="J379" t="str">
        <f>INDEX(products!$A$1:$G$49, MATCH(orders!$D379, products!$A$1:$A$49, 0), MATCH(orders!J$1, products!$A$1:$G$1, 0))</f>
        <v>D</v>
      </c>
      <c r="K379" s="5">
        <f>INDEX(products!$A$1:$G$49, MATCH(orders!$D379, products!$A$1:$A$49, 0), MATCH(orders!K$1, products!$A$1:$G$1, 0))</f>
        <v>0.2</v>
      </c>
      <c r="L379" s="6">
        <f>INDEX(products!$A$1:$G$49, MATCH(orders!$D379, products!$A$1:$A$49, 0), MATCH(orders!L$1, products!$A$1:$G$1, 0))</f>
        <v>2.6849999999999996</v>
      </c>
      <c r="M379" s="6">
        <f t="shared" si="16"/>
        <v>8.0549999999999997</v>
      </c>
      <c r="N379" t="str">
        <f t="shared" si="17"/>
        <v>Robusta</v>
      </c>
      <c r="O379" t="str">
        <f t="shared" si="15"/>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_xlfn.XLOOKUP(C380,customers!$A$2:$A$1001,customers!$B$2:$B$1001,,0)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 MATCH(orders!$D380, products!$A$1:$A$49, 0), MATCH(orders!I$1, products!$A$1:$G$1, 0))</f>
        <v>Ara</v>
      </c>
      <c r="J380" t="str">
        <f>INDEX(products!$A$1:$G$49, MATCH(orders!$D380, products!$A$1:$A$49, 0), MATCH(orders!J$1, products!$A$1:$G$1, 0))</f>
        <v>L</v>
      </c>
      <c r="K380" s="5">
        <f>INDEX(products!$A$1:$G$49, MATCH(orders!$D380, products!$A$1:$A$49, 0), MATCH(orders!K$1, products!$A$1:$G$1, 0))</f>
        <v>0.5</v>
      </c>
      <c r="L380" s="6">
        <f>INDEX(products!$A$1:$G$49, MATCH(orders!$D380, products!$A$1:$A$49, 0), MATCH(orders!L$1, products!$A$1:$G$1, 0))</f>
        <v>7.77</v>
      </c>
      <c r="M380" s="6">
        <f t="shared" si="16"/>
        <v>23.31</v>
      </c>
      <c r="N380" t="str">
        <f t="shared" si="17"/>
        <v>Arabica</v>
      </c>
      <c r="O380" t="str">
        <f t="shared" si="15"/>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_xlfn.XLOOKUP(C381,customers!$A$2:$A$1001,customers!$B$2:$B$1001,,0)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 MATCH(orders!$D381, products!$A$1:$A$49, 0), MATCH(orders!I$1, products!$A$1:$G$1, 0))</f>
        <v>Rob</v>
      </c>
      <c r="J381" t="str">
        <f>INDEX(products!$A$1:$G$49, MATCH(orders!$D381, products!$A$1:$A$49, 0), MATCH(orders!J$1, products!$A$1:$G$1, 0))</f>
        <v>L</v>
      </c>
      <c r="K381" s="5">
        <f>INDEX(products!$A$1:$G$49, MATCH(orders!$D381, products!$A$1:$A$49, 0), MATCH(orders!K$1, products!$A$1:$G$1, 0))</f>
        <v>0.5</v>
      </c>
      <c r="L381" s="6">
        <f>INDEX(products!$A$1:$G$49, MATCH(orders!$D381, products!$A$1:$A$49, 0), MATCH(orders!L$1, products!$A$1:$G$1, 0))</f>
        <v>7.169999999999999</v>
      </c>
      <c r="M381" s="6">
        <f t="shared" si="16"/>
        <v>43.019999999999996</v>
      </c>
      <c r="N381" t="str">
        <f t="shared" si="17"/>
        <v>Robusta</v>
      </c>
      <c r="O381" t="str">
        <f t="shared" si="15"/>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_xlfn.XLOOKUP(C382,customers!$A$2:$A$1001,customers!$B$2:$B$1001,,0)</f>
        <v>Flynn Antony</v>
      </c>
      <c r="G382" s="2" t="str">
        <f>IF(_xlfn.XLOOKUP(C382,customers!$A$1:$A$1001,customers!$C$1:$C$1001,,0)=0,"",_xlfn.XLOOKUP(C382,customers!$A$1:$A$1001,customers!$C$1:$C$1001,,0))</f>
        <v/>
      </c>
      <c r="H382" s="2" t="str">
        <f>_xlfn.XLOOKUP(C382,customers!$A$1:$A$1001,customers!$G$1:$G$1001,,0)</f>
        <v>United States</v>
      </c>
      <c r="I382" t="str">
        <f>INDEX(products!$A$1:$G$49, MATCH(orders!$D382, products!$A$1:$A$49, 0), MATCH(orders!I$1, products!$A$1:$G$1, 0))</f>
        <v>Lib</v>
      </c>
      <c r="J382" t="str">
        <f>INDEX(products!$A$1:$G$49, MATCH(orders!$D382, products!$A$1:$A$49, 0), MATCH(orders!J$1, products!$A$1:$G$1, 0))</f>
        <v>D</v>
      </c>
      <c r="K382" s="5">
        <f>INDEX(products!$A$1:$G$49, MATCH(orders!$D382, products!$A$1:$A$49, 0), MATCH(orders!K$1, products!$A$1:$G$1, 0))</f>
        <v>0.5</v>
      </c>
      <c r="L382" s="6">
        <f>INDEX(products!$A$1:$G$49, MATCH(orders!$D382, products!$A$1:$A$49, 0), MATCH(orders!L$1, products!$A$1:$G$1, 0))</f>
        <v>7.77</v>
      </c>
      <c r="M382" s="6">
        <f t="shared" si="16"/>
        <v>23.31</v>
      </c>
      <c r="N382" t="str">
        <f t="shared" si="17"/>
        <v>Liberica</v>
      </c>
      <c r="O382" t="str">
        <f t="shared" si="15"/>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_xlfn.XLOOKUP(C383,customers!$A$2:$A$1001,customers!$B$2:$B$1001,,0)</f>
        <v>Pren Bess</v>
      </c>
      <c r="G383" s="2" t="str">
        <f>IF(_xlfn.XLOOKUP(C383,customers!$A$1:$A$1001,customers!$C$1:$C$1001,,0)=0,"",_xlfn.XLOOKUP(C383,customers!$A$1:$A$1001,customers!$C$1:$C$1001,,0))</f>
        <v>pbessal@qq.com</v>
      </c>
      <c r="H383" s="2" t="str">
        <f>_xlfn.XLOOKUP(C383,customers!$A$1:$A$1001,customers!$G$1:$G$1001,,0)</f>
        <v>United States</v>
      </c>
      <c r="I383" t="str">
        <f>INDEX(products!$A$1:$G$49, MATCH(orders!$D383, products!$A$1:$A$49, 0), MATCH(orders!I$1, products!$A$1:$G$1, 0))</f>
        <v>Ara</v>
      </c>
      <c r="J383" t="str">
        <f>INDEX(products!$A$1:$G$49, MATCH(orders!$D383, products!$A$1:$A$49, 0), MATCH(orders!J$1, products!$A$1:$G$1, 0))</f>
        <v>D</v>
      </c>
      <c r="K383" s="5">
        <f>INDEX(products!$A$1:$G$49, MATCH(orders!$D383, products!$A$1:$A$49, 0), MATCH(orders!K$1, products!$A$1:$G$1, 0))</f>
        <v>0.2</v>
      </c>
      <c r="L383" s="6">
        <f>INDEX(products!$A$1:$G$49, MATCH(orders!$D383, products!$A$1:$A$49, 0), MATCH(orders!L$1, products!$A$1:$G$1, 0))</f>
        <v>2.9849999999999999</v>
      </c>
      <c r="M383" s="6">
        <f t="shared" si="16"/>
        <v>14.924999999999999</v>
      </c>
      <c r="N383" t="str">
        <f t="shared" si="17"/>
        <v>Arabica</v>
      </c>
      <c r="O383" t="str">
        <f t="shared" si="15"/>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_xlfn.XLOOKUP(C384,customers!$A$2:$A$1001,customers!$B$2:$B$1001,,0)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 MATCH(orders!$D384, products!$A$1:$A$49, 0), MATCH(orders!I$1, products!$A$1:$G$1, 0))</f>
        <v>Exc</v>
      </c>
      <c r="J384" t="str">
        <f>INDEX(products!$A$1:$G$49, MATCH(orders!$D384, products!$A$1:$A$49, 0), MATCH(orders!J$1, products!$A$1:$G$1, 0))</f>
        <v>D</v>
      </c>
      <c r="K384" s="5">
        <f>INDEX(products!$A$1:$G$49, MATCH(orders!$D384, products!$A$1:$A$49, 0), MATCH(orders!K$1, products!$A$1:$G$1, 0))</f>
        <v>0.5</v>
      </c>
      <c r="L384" s="6">
        <f>INDEX(products!$A$1:$G$49, MATCH(orders!$D384, products!$A$1:$A$49, 0), MATCH(orders!L$1, products!$A$1:$G$1, 0))</f>
        <v>7.29</v>
      </c>
      <c r="M384" s="6">
        <f t="shared" si="16"/>
        <v>21.87</v>
      </c>
      <c r="N384" t="str">
        <f t="shared" si="17"/>
        <v>Excelsa</v>
      </c>
      <c r="O384" t="str">
        <f t="shared" si="15"/>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_xlfn.XLOOKUP(C385,customers!$A$2:$A$1001,customers!$B$2:$B$1001,,0)</f>
        <v>Marty Kidstoun</v>
      </c>
      <c r="G385" s="2" t="str">
        <f>IF(_xlfn.XLOOKUP(C385,customers!$A$1:$A$1001,customers!$C$1:$C$1001,,0)=0,"",_xlfn.XLOOKUP(C385,customers!$A$1:$A$1001,customers!$C$1:$C$1001,,0))</f>
        <v/>
      </c>
      <c r="H385" s="2" t="str">
        <f>_xlfn.XLOOKUP(C385,customers!$A$1:$A$1001,customers!$G$1:$G$1001,,0)</f>
        <v>United States</v>
      </c>
      <c r="I385" t="str">
        <f>INDEX(products!$A$1:$G$49, MATCH(orders!$D385, products!$A$1:$A$49, 0), MATCH(orders!I$1, products!$A$1:$G$1, 0))</f>
        <v>Exc</v>
      </c>
      <c r="J385" t="str">
        <f>INDEX(products!$A$1:$G$49, MATCH(orders!$D385, products!$A$1:$A$49, 0), MATCH(orders!J$1, products!$A$1:$G$1, 0))</f>
        <v>L</v>
      </c>
      <c r="K385" s="5">
        <f>INDEX(products!$A$1:$G$49, MATCH(orders!$D385, products!$A$1:$A$49, 0), MATCH(orders!K$1, products!$A$1:$G$1, 0))</f>
        <v>0.5</v>
      </c>
      <c r="L385" s="6">
        <f>INDEX(products!$A$1:$G$49, MATCH(orders!$D385, products!$A$1:$A$49, 0), MATCH(orders!L$1, products!$A$1:$G$1, 0))</f>
        <v>8.91</v>
      </c>
      <c r="M385" s="6">
        <f t="shared" si="16"/>
        <v>53.46</v>
      </c>
      <c r="N385" t="str">
        <f t="shared" si="17"/>
        <v>Excelsa</v>
      </c>
      <c r="O385" t="str">
        <f t="shared" si="15"/>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_xlfn.XLOOKUP(C386,customers!$A$2:$A$1001,customers!$B$2:$B$1001,,0)</f>
        <v>Nickey Dimbleby</v>
      </c>
      <c r="G386" s="2" t="str">
        <f>IF(_xlfn.XLOOKUP(C386,customers!$A$1:$A$1001,customers!$C$1:$C$1001,,0)=0,"",_xlfn.XLOOKUP(C386,customers!$A$1:$A$1001,customers!$C$1:$C$1001,,0))</f>
        <v/>
      </c>
      <c r="H386" s="2" t="str">
        <f>_xlfn.XLOOKUP(C386,customers!$A$1:$A$1001,customers!$G$1:$G$1001,,0)</f>
        <v>United States</v>
      </c>
      <c r="I386" t="str">
        <f>INDEX(products!$A$1:$G$49, MATCH(orders!$D386, products!$A$1:$A$49, 0), MATCH(orders!I$1, products!$A$1:$G$1, 0))</f>
        <v>Ara</v>
      </c>
      <c r="J386" t="str">
        <f>INDEX(products!$A$1:$G$49, MATCH(orders!$D386, products!$A$1:$A$49, 0), MATCH(orders!J$1, products!$A$1:$G$1, 0))</f>
        <v>L</v>
      </c>
      <c r="K386" s="5">
        <f>INDEX(products!$A$1:$G$49, MATCH(orders!$D386, products!$A$1:$A$49, 0), MATCH(orders!K$1, products!$A$1:$G$1, 0))</f>
        <v>2.5</v>
      </c>
      <c r="L386" s="6">
        <f>INDEX(products!$A$1:$G$49, MATCH(orders!$D386, products!$A$1:$A$49, 0), MATCH(orders!L$1, products!$A$1:$G$1, 0))</f>
        <v>29.784999999999997</v>
      </c>
      <c r="M386" s="6">
        <f t="shared" si="16"/>
        <v>119.13999999999999</v>
      </c>
      <c r="N386" t="str">
        <f t="shared" si="17"/>
        <v>Arabica</v>
      </c>
      <c r="O386" t="str">
        <f t="shared" ref="O386:O449" si="18">IF(J386="M","Medium",IF(J386="l","Light",IF(J386="d","Dark","")))</f>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_xlfn.XLOOKUP(C387,customers!$A$2:$A$1001,customers!$B$2:$B$1001,,0)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 MATCH(orders!$D387, products!$A$1:$A$49, 0), MATCH(orders!I$1, products!$A$1:$G$1, 0))</f>
        <v>Lib</v>
      </c>
      <c r="J387" t="str">
        <f>INDEX(products!$A$1:$G$49, MATCH(orders!$D387, products!$A$1:$A$49, 0), MATCH(orders!J$1, products!$A$1:$G$1, 0))</f>
        <v>M</v>
      </c>
      <c r="K387" s="5">
        <f>INDEX(products!$A$1:$G$49, MATCH(orders!$D387, products!$A$1:$A$49, 0), MATCH(orders!K$1, products!$A$1:$G$1, 0))</f>
        <v>0.5</v>
      </c>
      <c r="L387" s="6">
        <f>INDEX(products!$A$1:$G$49, MATCH(orders!$D387, products!$A$1:$A$49, 0), MATCH(orders!L$1, products!$A$1:$G$1, 0))</f>
        <v>8.73</v>
      </c>
      <c r="M387" s="6">
        <f t="shared" ref="M387:M450" si="19">L387*E387</f>
        <v>43.650000000000006</v>
      </c>
      <c r="N387" t="str">
        <f t="shared" ref="N387:N450" si="20">IF(I387="Rob","Robusta",IF(I387="Exc","Excelsa",IF(I387="Ara","Arabica",IF(I387="lib","Liberica",""))))</f>
        <v>Liberica</v>
      </c>
      <c r="O387" t="str">
        <f t="shared" si="18"/>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_xlfn.XLOOKUP(C388,customers!$A$2:$A$1001,customers!$B$2:$B$1001,,0)</f>
        <v>Lenore Messenbird</v>
      </c>
      <c r="G388" s="2" t="str">
        <f>IF(_xlfn.XLOOKUP(C388,customers!$A$1:$A$1001,customers!$C$1:$C$1001,,0)=0,"",_xlfn.XLOOKUP(C388,customers!$A$1:$A$1001,customers!$C$1:$C$1001,,0))</f>
        <v/>
      </c>
      <c r="H388" s="2" t="str">
        <f>_xlfn.XLOOKUP(C388,customers!$A$1:$A$1001,customers!$G$1:$G$1001,,0)</f>
        <v>United States</v>
      </c>
      <c r="I388" t="str">
        <f>INDEX(products!$A$1:$G$49, MATCH(orders!$D388, products!$A$1:$A$49, 0), MATCH(orders!I$1, products!$A$1:$G$1, 0))</f>
        <v>Ara</v>
      </c>
      <c r="J388" t="str">
        <f>INDEX(products!$A$1:$G$49, MATCH(orders!$D388, products!$A$1:$A$49, 0), MATCH(orders!J$1, products!$A$1:$G$1, 0))</f>
        <v>D</v>
      </c>
      <c r="K388" s="5">
        <f>INDEX(products!$A$1:$G$49, MATCH(orders!$D388, products!$A$1:$A$49, 0), MATCH(orders!K$1, products!$A$1:$G$1, 0))</f>
        <v>0.2</v>
      </c>
      <c r="L388" s="6">
        <f>INDEX(products!$A$1:$G$49, MATCH(orders!$D388, products!$A$1:$A$49, 0), MATCH(orders!L$1, products!$A$1:$G$1, 0))</f>
        <v>2.9849999999999999</v>
      </c>
      <c r="M388" s="6">
        <f t="shared" si="19"/>
        <v>17.91</v>
      </c>
      <c r="N388" t="str">
        <f t="shared" si="20"/>
        <v>Arabica</v>
      </c>
      <c r="O388" t="str">
        <f t="shared" si="18"/>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_xlfn.XLOOKUP(C389,customers!$A$2:$A$1001,customers!$B$2:$B$1001,,0)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 MATCH(orders!$D389, products!$A$1:$A$49, 0), MATCH(orders!I$1, products!$A$1:$G$1, 0))</f>
        <v>Exc</v>
      </c>
      <c r="J389" t="str">
        <f>INDEX(products!$A$1:$G$49, MATCH(orders!$D389, products!$A$1:$A$49, 0), MATCH(orders!J$1, products!$A$1:$G$1, 0))</f>
        <v>L</v>
      </c>
      <c r="K389" s="5">
        <f>INDEX(products!$A$1:$G$49, MATCH(orders!$D389, products!$A$1:$A$49, 0), MATCH(orders!K$1, products!$A$1:$G$1, 0))</f>
        <v>1</v>
      </c>
      <c r="L389" s="6">
        <f>INDEX(products!$A$1:$G$49, MATCH(orders!$D389, products!$A$1:$A$49, 0), MATCH(orders!L$1, products!$A$1:$G$1, 0))</f>
        <v>14.85</v>
      </c>
      <c r="M389" s="6">
        <f t="shared" si="19"/>
        <v>74.25</v>
      </c>
      <c r="N389" t="str">
        <f t="shared" si="20"/>
        <v>Excelsa</v>
      </c>
      <c r="O389" t="str">
        <f t="shared" si="18"/>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_xlfn.XLOOKUP(C390,customers!$A$2:$A$1001,customers!$B$2:$B$1001,,0)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 MATCH(orders!$D390, products!$A$1:$A$49, 0), MATCH(orders!I$1, products!$A$1:$G$1, 0))</f>
        <v>Lib</v>
      </c>
      <c r="J390" t="str">
        <f>INDEX(products!$A$1:$G$49, MATCH(orders!$D390, products!$A$1:$A$49, 0), MATCH(orders!J$1, products!$A$1:$G$1, 0))</f>
        <v>D</v>
      </c>
      <c r="K390" s="5">
        <f>INDEX(products!$A$1:$G$49, MATCH(orders!$D390, products!$A$1:$A$49, 0), MATCH(orders!K$1, products!$A$1:$G$1, 0))</f>
        <v>0.2</v>
      </c>
      <c r="L390" s="6">
        <f>INDEX(products!$A$1:$G$49, MATCH(orders!$D390, products!$A$1:$A$49, 0), MATCH(orders!L$1, products!$A$1:$G$1, 0))</f>
        <v>3.8849999999999998</v>
      </c>
      <c r="M390" s="6">
        <f t="shared" si="19"/>
        <v>11.654999999999999</v>
      </c>
      <c r="N390" t="str">
        <f t="shared" si="20"/>
        <v>Liberica</v>
      </c>
      <c r="O390" t="str">
        <f t="shared" si="18"/>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_xlfn.XLOOKUP(C391,customers!$A$2:$A$1001,customers!$B$2:$B$1001,,0)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 MATCH(orders!$D391, products!$A$1:$A$49, 0), MATCH(orders!I$1, products!$A$1:$G$1, 0))</f>
        <v>Lib</v>
      </c>
      <c r="J391" t="str">
        <f>INDEX(products!$A$1:$G$49, MATCH(orders!$D391, products!$A$1:$A$49, 0), MATCH(orders!J$1, products!$A$1:$G$1, 0))</f>
        <v>D</v>
      </c>
      <c r="K391" s="5">
        <f>INDEX(products!$A$1:$G$49, MATCH(orders!$D391, products!$A$1:$A$49, 0), MATCH(orders!K$1, products!$A$1:$G$1, 0))</f>
        <v>0.5</v>
      </c>
      <c r="L391" s="6">
        <f>INDEX(products!$A$1:$G$49, MATCH(orders!$D391, products!$A$1:$A$49, 0), MATCH(orders!L$1, products!$A$1:$G$1, 0))</f>
        <v>7.77</v>
      </c>
      <c r="M391" s="6">
        <f t="shared" si="19"/>
        <v>23.31</v>
      </c>
      <c r="N391" t="str">
        <f t="shared" si="20"/>
        <v>Liberica</v>
      </c>
      <c r="O391" t="str">
        <f t="shared" si="18"/>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_xlfn.XLOOKUP(C392,customers!$A$2:$A$1001,customers!$B$2:$B$1001,,0)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 MATCH(orders!$D392, products!$A$1:$A$49, 0), MATCH(orders!I$1, products!$A$1:$G$1, 0))</f>
        <v>Exc</v>
      </c>
      <c r="J392" t="str">
        <f>INDEX(products!$A$1:$G$49, MATCH(orders!$D392, products!$A$1:$A$49, 0), MATCH(orders!J$1, products!$A$1:$G$1, 0))</f>
        <v>D</v>
      </c>
      <c r="K392" s="5">
        <f>INDEX(products!$A$1:$G$49, MATCH(orders!$D392, products!$A$1:$A$49, 0), MATCH(orders!K$1, products!$A$1:$G$1, 0))</f>
        <v>0.5</v>
      </c>
      <c r="L392" s="6">
        <f>INDEX(products!$A$1:$G$49, MATCH(orders!$D392, products!$A$1:$A$49, 0), MATCH(orders!L$1, products!$A$1:$G$1, 0))</f>
        <v>7.29</v>
      </c>
      <c r="M392" s="6">
        <f t="shared" si="19"/>
        <v>14.58</v>
      </c>
      <c r="N392" t="str">
        <f t="shared" si="20"/>
        <v>Excelsa</v>
      </c>
      <c r="O392" t="str">
        <f t="shared" si="18"/>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_xlfn.XLOOKUP(C393,customers!$A$2:$A$1001,customers!$B$2:$B$1001,,0)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 MATCH(orders!$D393, products!$A$1:$A$49, 0), MATCH(orders!I$1, products!$A$1:$G$1, 0))</f>
        <v>Ara</v>
      </c>
      <c r="J393" t="str">
        <f>INDEX(products!$A$1:$G$49, MATCH(orders!$D393, products!$A$1:$A$49, 0), MATCH(orders!J$1, products!$A$1:$G$1, 0))</f>
        <v>M</v>
      </c>
      <c r="K393" s="5">
        <f>INDEX(products!$A$1:$G$49, MATCH(orders!$D393, products!$A$1:$A$49, 0), MATCH(orders!K$1, products!$A$1:$G$1, 0))</f>
        <v>0.5</v>
      </c>
      <c r="L393" s="6">
        <f>INDEX(products!$A$1:$G$49, MATCH(orders!$D393, products!$A$1:$A$49, 0), MATCH(orders!L$1, products!$A$1:$G$1, 0))</f>
        <v>6.75</v>
      </c>
      <c r="M393" s="6">
        <f t="shared" si="19"/>
        <v>13.5</v>
      </c>
      <c r="N393" t="str">
        <f t="shared" si="20"/>
        <v>Arabica</v>
      </c>
      <c r="O393" t="str">
        <f t="shared" si="18"/>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_xlfn.XLOOKUP(C394,customers!$A$2:$A$1001,customers!$B$2:$B$1001,,0)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 MATCH(orders!$D394, products!$A$1:$A$49, 0), MATCH(orders!I$1, products!$A$1:$G$1, 0))</f>
        <v>Exc</v>
      </c>
      <c r="J394" t="str">
        <f>INDEX(products!$A$1:$G$49, MATCH(orders!$D394, products!$A$1:$A$49, 0), MATCH(orders!J$1, products!$A$1:$G$1, 0))</f>
        <v>L</v>
      </c>
      <c r="K394" s="5">
        <f>INDEX(products!$A$1:$G$49, MATCH(orders!$D394, products!$A$1:$A$49, 0), MATCH(orders!K$1, products!$A$1:$G$1, 0))</f>
        <v>1</v>
      </c>
      <c r="L394" s="6">
        <f>INDEX(products!$A$1:$G$49, MATCH(orders!$D394, products!$A$1:$A$49, 0), MATCH(orders!L$1, products!$A$1:$G$1, 0))</f>
        <v>14.85</v>
      </c>
      <c r="M394" s="6">
        <f t="shared" si="19"/>
        <v>89.1</v>
      </c>
      <c r="N394" t="str">
        <f t="shared" si="20"/>
        <v>Excelsa</v>
      </c>
      <c r="O394" t="str">
        <f t="shared" si="18"/>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_xlfn.XLOOKUP(C395,customers!$A$2:$A$1001,customers!$B$2:$B$1001,,0)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 MATCH(orders!$D395, products!$A$1:$A$49, 0), MATCH(orders!I$1, products!$A$1:$G$1, 0))</f>
        <v>Ara</v>
      </c>
      <c r="J395" t="str">
        <f>INDEX(products!$A$1:$G$49, MATCH(orders!$D395, products!$A$1:$A$49, 0), MATCH(orders!J$1, products!$A$1:$G$1, 0))</f>
        <v>L</v>
      </c>
      <c r="K395" s="5">
        <f>INDEX(products!$A$1:$G$49, MATCH(orders!$D395, products!$A$1:$A$49, 0), MATCH(orders!K$1, products!$A$1:$G$1, 0))</f>
        <v>0.2</v>
      </c>
      <c r="L395" s="6">
        <f>INDEX(products!$A$1:$G$49, MATCH(orders!$D395, products!$A$1:$A$49, 0), MATCH(orders!L$1, products!$A$1:$G$1, 0))</f>
        <v>3.8849999999999998</v>
      </c>
      <c r="M395" s="6">
        <f t="shared" si="19"/>
        <v>3.8849999999999998</v>
      </c>
      <c r="N395" t="str">
        <f t="shared" si="20"/>
        <v>Arabica</v>
      </c>
      <c r="O395" t="str">
        <f t="shared" si="18"/>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_xlfn.XLOOKUP(C396,customers!$A$2:$A$1001,customers!$B$2:$B$1001,,0)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 MATCH(orders!$D396, products!$A$1:$A$49, 0), MATCH(orders!I$1, products!$A$1:$G$1, 0))</f>
        <v>Rob</v>
      </c>
      <c r="J396" t="str">
        <f>INDEX(products!$A$1:$G$49, MATCH(orders!$D396, products!$A$1:$A$49, 0), MATCH(orders!J$1, products!$A$1:$G$1, 0))</f>
        <v>L</v>
      </c>
      <c r="K396" s="5">
        <f>INDEX(products!$A$1:$G$49, MATCH(orders!$D396, products!$A$1:$A$49, 0), MATCH(orders!K$1, products!$A$1:$G$1, 0))</f>
        <v>2.5</v>
      </c>
      <c r="L396" s="6">
        <f>INDEX(products!$A$1:$G$49, MATCH(orders!$D396, products!$A$1:$A$49, 0), MATCH(orders!L$1, products!$A$1:$G$1, 0))</f>
        <v>27.484999999999996</v>
      </c>
      <c r="M396" s="6">
        <f t="shared" si="19"/>
        <v>109.93999999999998</v>
      </c>
      <c r="N396" t="str">
        <f t="shared" si="20"/>
        <v>Robusta</v>
      </c>
      <c r="O396" t="str">
        <f t="shared" si="18"/>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_xlfn.XLOOKUP(C397,customers!$A$2:$A$1001,customers!$B$2:$B$1001,,0)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 MATCH(orders!$D397, products!$A$1:$A$49, 0), MATCH(orders!I$1, products!$A$1:$G$1, 0))</f>
        <v>Lib</v>
      </c>
      <c r="J397" t="str">
        <f>INDEX(products!$A$1:$G$49, MATCH(orders!$D397, products!$A$1:$A$49, 0), MATCH(orders!J$1, products!$A$1:$G$1, 0))</f>
        <v>D</v>
      </c>
      <c r="K397" s="5">
        <f>INDEX(products!$A$1:$G$49, MATCH(orders!$D397, products!$A$1:$A$49, 0), MATCH(orders!K$1, products!$A$1:$G$1, 0))</f>
        <v>0.5</v>
      </c>
      <c r="L397" s="6">
        <f>INDEX(products!$A$1:$G$49, MATCH(orders!$D397, products!$A$1:$A$49, 0), MATCH(orders!L$1, products!$A$1:$G$1, 0))</f>
        <v>7.77</v>
      </c>
      <c r="M397" s="6">
        <f t="shared" si="19"/>
        <v>46.62</v>
      </c>
      <c r="N397" t="str">
        <f t="shared" si="20"/>
        <v>Liberica</v>
      </c>
      <c r="O397" t="str">
        <f t="shared" si="18"/>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_xlfn.XLOOKUP(C398,customers!$A$2:$A$1001,customers!$B$2:$B$1001,,0)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 MATCH(orders!$D398, products!$A$1:$A$49, 0), MATCH(orders!I$1, products!$A$1:$G$1, 0))</f>
        <v>Ara</v>
      </c>
      <c r="J398" t="str">
        <f>INDEX(products!$A$1:$G$49, MATCH(orders!$D398, products!$A$1:$A$49, 0), MATCH(orders!J$1, products!$A$1:$G$1, 0))</f>
        <v>L</v>
      </c>
      <c r="K398" s="5">
        <f>INDEX(products!$A$1:$G$49, MATCH(orders!$D398, products!$A$1:$A$49, 0), MATCH(orders!K$1, products!$A$1:$G$1, 0))</f>
        <v>0.5</v>
      </c>
      <c r="L398" s="6">
        <f>INDEX(products!$A$1:$G$49, MATCH(orders!$D398, products!$A$1:$A$49, 0), MATCH(orders!L$1, products!$A$1:$G$1, 0))</f>
        <v>7.77</v>
      </c>
      <c r="M398" s="6">
        <f t="shared" si="19"/>
        <v>38.849999999999994</v>
      </c>
      <c r="N398" t="str">
        <f t="shared" si="20"/>
        <v>Arabica</v>
      </c>
      <c r="O398" t="str">
        <f t="shared" si="18"/>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_xlfn.XLOOKUP(C399,customers!$A$2:$A$1001,customers!$B$2:$B$1001,,0)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 MATCH(orders!$D399, products!$A$1:$A$49, 0), MATCH(orders!I$1, products!$A$1:$G$1, 0))</f>
        <v>Lib</v>
      </c>
      <c r="J399" t="str">
        <f>INDEX(products!$A$1:$G$49, MATCH(orders!$D399, products!$A$1:$A$49, 0), MATCH(orders!J$1, products!$A$1:$G$1, 0))</f>
        <v>D</v>
      </c>
      <c r="K399" s="5">
        <f>INDEX(products!$A$1:$G$49, MATCH(orders!$D399, products!$A$1:$A$49, 0), MATCH(orders!K$1, products!$A$1:$G$1, 0))</f>
        <v>0.5</v>
      </c>
      <c r="L399" s="6">
        <f>INDEX(products!$A$1:$G$49, MATCH(orders!$D399, products!$A$1:$A$49, 0), MATCH(orders!L$1, products!$A$1:$G$1, 0))</f>
        <v>7.77</v>
      </c>
      <c r="M399" s="6">
        <f t="shared" si="19"/>
        <v>31.08</v>
      </c>
      <c r="N399" t="str">
        <f t="shared" si="20"/>
        <v>Liberica</v>
      </c>
      <c r="O399" t="str">
        <f t="shared" si="18"/>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_xlfn.XLOOKUP(C400,customers!$A$2:$A$1001,customers!$B$2:$B$1001,,0)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 MATCH(orders!$D400, products!$A$1:$A$49, 0), MATCH(orders!I$1, products!$A$1:$G$1, 0))</f>
        <v>Ara</v>
      </c>
      <c r="J400" t="str">
        <f>INDEX(products!$A$1:$G$49, MATCH(orders!$D400, products!$A$1:$A$49, 0), MATCH(orders!J$1, products!$A$1:$G$1, 0))</f>
        <v>D</v>
      </c>
      <c r="K400" s="5">
        <f>INDEX(products!$A$1:$G$49, MATCH(orders!$D400, products!$A$1:$A$49, 0), MATCH(orders!K$1, products!$A$1:$G$1, 0))</f>
        <v>0.2</v>
      </c>
      <c r="L400" s="6">
        <f>INDEX(products!$A$1:$G$49, MATCH(orders!$D400, products!$A$1:$A$49, 0), MATCH(orders!L$1, products!$A$1:$G$1, 0))</f>
        <v>2.9849999999999999</v>
      </c>
      <c r="M400" s="6">
        <f t="shared" si="19"/>
        <v>17.91</v>
      </c>
      <c r="N400" t="str">
        <f t="shared" si="20"/>
        <v>Arabica</v>
      </c>
      <c r="O400" t="str">
        <f t="shared" si="18"/>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_xlfn.XLOOKUP(C401,customers!$A$2:$A$1001,customers!$B$2:$B$1001,,0)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 MATCH(orders!$D401, products!$A$1:$A$49, 0), MATCH(orders!I$1, products!$A$1:$G$1, 0))</f>
        <v>Exc</v>
      </c>
      <c r="J401" t="str">
        <f>INDEX(products!$A$1:$G$49, MATCH(orders!$D401, products!$A$1:$A$49, 0), MATCH(orders!J$1, products!$A$1:$G$1, 0))</f>
        <v>D</v>
      </c>
      <c r="K401" s="5">
        <f>INDEX(products!$A$1:$G$49, MATCH(orders!$D401, products!$A$1:$A$49, 0), MATCH(orders!K$1, products!$A$1:$G$1, 0))</f>
        <v>2.5</v>
      </c>
      <c r="L401" s="6">
        <f>INDEX(products!$A$1:$G$49, MATCH(orders!$D401, products!$A$1:$A$49, 0), MATCH(orders!L$1, products!$A$1:$G$1, 0))</f>
        <v>27.945</v>
      </c>
      <c r="M401" s="6">
        <f t="shared" si="19"/>
        <v>167.67000000000002</v>
      </c>
      <c r="N401" t="str">
        <f t="shared" si="20"/>
        <v>Excelsa</v>
      </c>
      <c r="O401" t="str">
        <f t="shared" si="18"/>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_xlfn.XLOOKUP(C402,customers!$A$2:$A$1001,customers!$B$2:$B$1001,,0)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 MATCH(orders!$D402, products!$A$1:$A$49, 0), MATCH(orders!I$1, products!$A$1:$G$1, 0))</f>
        <v>Lib</v>
      </c>
      <c r="J402" t="str">
        <f>INDEX(products!$A$1:$G$49, MATCH(orders!$D402, products!$A$1:$A$49, 0), MATCH(orders!J$1, products!$A$1:$G$1, 0))</f>
        <v>L</v>
      </c>
      <c r="K402" s="5">
        <f>INDEX(products!$A$1:$G$49, MATCH(orders!$D402, products!$A$1:$A$49, 0), MATCH(orders!K$1, products!$A$1:$G$1, 0))</f>
        <v>1</v>
      </c>
      <c r="L402" s="6">
        <f>INDEX(products!$A$1:$G$49, MATCH(orders!$D402, products!$A$1:$A$49, 0), MATCH(orders!L$1, products!$A$1:$G$1, 0))</f>
        <v>15.85</v>
      </c>
      <c r="M402" s="6">
        <f t="shared" si="19"/>
        <v>63.4</v>
      </c>
      <c r="N402" t="str">
        <f t="shared" si="20"/>
        <v>Liberica</v>
      </c>
      <c r="O402" t="str">
        <f t="shared" si="18"/>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_xlfn.XLOOKUP(C403,customers!$A$2:$A$1001,customers!$B$2:$B$1001,,0)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 MATCH(orders!$D403, products!$A$1:$A$49, 0), MATCH(orders!I$1, products!$A$1:$G$1, 0))</f>
        <v>Lib</v>
      </c>
      <c r="J403" t="str">
        <f>INDEX(products!$A$1:$G$49, MATCH(orders!$D403, products!$A$1:$A$49, 0), MATCH(orders!J$1, products!$A$1:$G$1, 0))</f>
        <v>M</v>
      </c>
      <c r="K403" s="5">
        <f>INDEX(products!$A$1:$G$49, MATCH(orders!$D403, products!$A$1:$A$49, 0), MATCH(orders!K$1, products!$A$1:$G$1, 0))</f>
        <v>0.2</v>
      </c>
      <c r="L403" s="6">
        <f>INDEX(products!$A$1:$G$49, MATCH(orders!$D403, products!$A$1:$A$49, 0), MATCH(orders!L$1, products!$A$1:$G$1, 0))</f>
        <v>4.3650000000000002</v>
      </c>
      <c r="M403" s="6">
        <f t="shared" si="19"/>
        <v>8.73</v>
      </c>
      <c r="N403" t="str">
        <f t="shared" si="20"/>
        <v>Liberica</v>
      </c>
      <c r="O403" t="str">
        <f t="shared" si="18"/>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_xlfn.XLOOKUP(C404,customers!$A$2:$A$1001,customers!$B$2:$B$1001,,0)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 MATCH(orders!$D404, products!$A$1:$A$49, 0), MATCH(orders!I$1, products!$A$1:$G$1, 0))</f>
        <v>Rob</v>
      </c>
      <c r="J404" t="str">
        <f>INDEX(products!$A$1:$G$49, MATCH(orders!$D404, products!$A$1:$A$49, 0), MATCH(orders!J$1, products!$A$1:$G$1, 0))</f>
        <v>D</v>
      </c>
      <c r="K404" s="5">
        <f>INDEX(products!$A$1:$G$49, MATCH(orders!$D404, products!$A$1:$A$49, 0), MATCH(orders!K$1, products!$A$1:$G$1, 0))</f>
        <v>1</v>
      </c>
      <c r="L404" s="6">
        <f>INDEX(products!$A$1:$G$49, MATCH(orders!$D404, products!$A$1:$A$49, 0), MATCH(orders!L$1, products!$A$1:$G$1, 0))</f>
        <v>8.9499999999999993</v>
      </c>
      <c r="M404" s="6">
        <f t="shared" si="19"/>
        <v>26.849999999999998</v>
      </c>
      <c r="N404" t="str">
        <f t="shared" si="20"/>
        <v>Robusta</v>
      </c>
      <c r="O404" t="str">
        <f t="shared" si="18"/>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_xlfn.XLOOKUP(C405,customers!$A$2:$A$1001,customers!$B$2:$B$1001,,0)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 MATCH(orders!$D405, products!$A$1:$A$49, 0), MATCH(orders!I$1, products!$A$1:$G$1, 0))</f>
        <v>Lib</v>
      </c>
      <c r="J405" t="str">
        <f>INDEX(products!$A$1:$G$49, MATCH(orders!$D405, products!$A$1:$A$49, 0), MATCH(orders!J$1, products!$A$1:$G$1, 0))</f>
        <v>L</v>
      </c>
      <c r="K405" s="5">
        <f>INDEX(products!$A$1:$G$49, MATCH(orders!$D405, products!$A$1:$A$49, 0), MATCH(orders!K$1, products!$A$1:$G$1, 0))</f>
        <v>0.2</v>
      </c>
      <c r="L405" s="6">
        <f>INDEX(products!$A$1:$G$49, MATCH(orders!$D405, products!$A$1:$A$49, 0), MATCH(orders!L$1, products!$A$1:$G$1, 0))</f>
        <v>4.7549999999999999</v>
      </c>
      <c r="M405" s="6">
        <f t="shared" si="19"/>
        <v>9.51</v>
      </c>
      <c r="N405" t="str">
        <f t="shared" si="20"/>
        <v>Liberica</v>
      </c>
      <c r="O405" t="str">
        <f t="shared" si="18"/>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_xlfn.XLOOKUP(C406,customers!$A$2:$A$1001,customers!$B$2:$B$1001,,0)</f>
        <v>Tania Craggs</v>
      </c>
      <c r="G406" s="2" t="str">
        <f>IF(_xlfn.XLOOKUP(C406,customers!$A$1:$A$1001,customers!$C$1:$C$1001,,0)=0,"",_xlfn.XLOOKUP(C406,customers!$A$1:$A$1001,customers!$C$1:$C$1001,,0))</f>
        <v>tcraggsb8@house.gov</v>
      </c>
      <c r="H406" s="2" t="str">
        <f>_xlfn.XLOOKUP(C406,customers!$A$1:$A$1001,customers!$G$1:$G$1001,,0)</f>
        <v>Ireland</v>
      </c>
      <c r="I406" t="str">
        <f>INDEX(products!$A$1:$G$49, MATCH(orders!$D406, products!$A$1:$A$49, 0), MATCH(orders!I$1, products!$A$1:$G$1, 0))</f>
        <v>Ara</v>
      </c>
      <c r="J406" t="str">
        <f>INDEX(products!$A$1:$G$49, MATCH(orders!$D406, products!$A$1:$A$49, 0), MATCH(orders!J$1, products!$A$1:$G$1, 0))</f>
        <v>D</v>
      </c>
      <c r="K406" s="5">
        <f>INDEX(products!$A$1:$G$49, MATCH(orders!$D406, products!$A$1:$A$49, 0), MATCH(orders!K$1, products!$A$1:$G$1, 0))</f>
        <v>1</v>
      </c>
      <c r="L406" s="6">
        <f>INDEX(products!$A$1:$G$49, MATCH(orders!$D406, products!$A$1:$A$49, 0), MATCH(orders!L$1, products!$A$1:$G$1, 0))</f>
        <v>9.9499999999999993</v>
      </c>
      <c r="M406" s="6">
        <f t="shared" si="19"/>
        <v>39.799999999999997</v>
      </c>
      <c r="N406" t="str">
        <f t="shared" si="20"/>
        <v>Arabica</v>
      </c>
      <c r="O406" t="str">
        <f t="shared" si="18"/>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_xlfn.XLOOKUP(C407,customers!$A$2:$A$1001,customers!$B$2:$B$1001,,0)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 MATCH(orders!$D407, products!$A$1:$A$49, 0), MATCH(orders!I$1, products!$A$1:$G$1, 0))</f>
        <v>Exc</v>
      </c>
      <c r="J407" t="str">
        <f>INDEX(products!$A$1:$G$49, MATCH(orders!$D407, products!$A$1:$A$49, 0), MATCH(orders!J$1, products!$A$1:$G$1, 0))</f>
        <v>M</v>
      </c>
      <c r="K407" s="5">
        <f>INDEX(products!$A$1:$G$49, MATCH(orders!$D407, products!$A$1:$A$49, 0), MATCH(orders!K$1, products!$A$1:$G$1, 0))</f>
        <v>0.5</v>
      </c>
      <c r="L407" s="6">
        <f>INDEX(products!$A$1:$G$49, MATCH(orders!$D407, products!$A$1:$A$49, 0), MATCH(orders!L$1, products!$A$1:$G$1, 0))</f>
        <v>8.25</v>
      </c>
      <c r="M407" s="6">
        <f t="shared" si="19"/>
        <v>24.75</v>
      </c>
      <c r="N407" t="str">
        <f t="shared" si="20"/>
        <v>Excelsa</v>
      </c>
      <c r="O407" t="str">
        <f t="shared" si="18"/>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_xlfn.XLOOKUP(C408,customers!$A$2:$A$1001,customers!$B$2:$B$1001,,0)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 MATCH(orders!$D408, products!$A$1:$A$49, 0), MATCH(orders!I$1, products!$A$1:$G$1, 0))</f>
        <v>Exc</v>
      </c>
      <c r="J408" t="str">
        <f>INDEX(products!$A$1:$G$49, MATCH(orders!$D408, products!$A$1:$A$49, 0), MATCH(orders!J$1, products!$A$1:$G$1, 0))</f>
        <v>M</v>
      </c>
      <c r="K408" s="5">
        <f>INDEX(products!$A$1:$G$49, MATCH(orders!$D408, products!$A$1:$A$49, 0), MATCH(orders!K$1, products!$A$1:$G$1, 0))</f>
        <v>1</v>
      </c>
      <c r="L408" s="6">
        <f>INDEX(products!$A$1:$G$49, MATCH(orders!$D408, products!$A$1:$A$49, 0), MATCH(orders!L$1, products!$A$1:$G$1, 0))</f>
        <v>13.75</v>
      </c>
      <c r="M408" s="6">
        <f t="shared" si="19"/>
        <v>68.75</v>
      </c>
      <c r="N408" t="str">
        <f t="shared" si="20"/>
        <v>Excelsa</v>
      </c>
      <c r="O408" t="str">
        <f t="shared" si="18"/>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_xlfn.XLOOKUP(C409,customers!$A$2:$A$1001,customers!$B$2:$B$1001,,0)</f>
        <v>Lorin Guerrazzi</v>
      </c>
      <c r="G409" s="2" t="str">
        <f>IF(_xlfn.XLOOKUP(C409,customers!$A$1:$A$1001,customers!$C$1:$C$1001,,0)=0,"",_xlfn.XLOOKUP(C409,customers!$A$1:$A$1001,customers!$C$1:$C$1001,,0))</f>
        <v/>
      </c>
      <c r="H409" s="2" t="str">
        <f>_xlfn.XLOOKUP(C409,customers!$A$1:$A$1001,customers!$G$1:$G$1001,,0)</f>
        <v>Ireland</v>
      </c>
      <c r="I409" t="str">
        <f>INDEX(products!$A$1:$G$49, MATCH(orders!$D409, products!$A$1:$A$49, 0), MATCH(orders!I$1, products!$A$1:$G$1, 0))</f>
        <v>Exc</v>
      </c>
      <c r="J409" t="str">
        <f>INDEX(products!$A$1:$G$49, MATCH(orders!$D409, products!$A$1:$A$49, 0), MATCH(orders!J$1, products!$A$1:$G$1, 0))</f>
        <v>M</v>
      </c>
      <c r="K409" s="5">
        <f>INDEX(products!$A$1:$G$49, MATCH(orders!$D409, products!$A$1:$A$49, 0), MATCH(orders!K$1, products!$A$1:$G$1, 0))</f>
        <v>0.5</v>
      </c>
      <c r="L409" s="6">
        <f>INDEX(products!$A$1:$G$49, MATCH(orders!$D409, products!$A$1:$A$49, 0), MATCH(orders!L$1, products!$A$1:$G$1, 0))</f>
        <v>8.25</v>
      </c>
      <c r="M409" s="6">
        <f t="shared" si="19"/>
        <v>49.5</v>
      </c>
      <c r="N409" t="str">
        <f t="shared" si="20"/>
        <v>Excelsa</v>
      </c>
      <c r="O409" t="str">
        <f t="shared" si="18"/>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_xlfn.XLOOKUP(C410,customers!$A$2:$A$1001,customers!$B$2:$B$1001,,0)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 MATCH(orders!$D410, products!$A$1:$A$49, 0), MATCH(orders!I$1, products!$A$1:$G$1, 0))</f>
        <v>Ara</v>
      </c>
      <c r="J410" t="str">
        <f>INDEX(products!$A$1:$G$49, MATCH(orders!$D410, products!$A$1:$A$49, 0), MATCH(orders!J$1, products!$A$1:$G$1, 0))</f>
        <v>M</v>
      </c>
      <c r="K410" s="5">
        <f>INDEX(products!$A$1:$G$49, MATCH(orders!$D410, products!$A$1:$A$49, 0), MATCH(orders!K$1, products!$A$1:$G$1, 0))</f>
        <v>2.5</v>
      </c>
      <c r="L410" s="6">
        <f>INDEX(products!$A$1:$G$49, MATCH(orders!$D410, products!$A$1:$A$49, 0), MATCH(orders!L$1, products!$A$1:$G$1, 0))</f>
        <v>25.874999999999996</v>
      </c>
      <c r="M410" s="6">
        <f t="shared" si="19"/>
        <v>51.749999999999993</v>
      </c>
      <c r="N410" t="str">
        <f t="shared" si="20"/>
        <v>Arabica</v>
      </c>
      <c r="O410" t="str">
        <f t="shared" si="18"/>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_xlfn.XLOOKUP(C411,customers!$A$2:$A$1001,customers!$B$2:$B$1001,,0)</f>
        <v>Hamish Skeech</v>
      </c>
      <c r="G411" s="2" t="str">
        <f>IF(_xlfn.XLOOKUP(C411,customers!$A$1:$A$1001,customers!$C$1:$C$1001,,0)=0,"",_xlfn.XLOOKUP(C411,customers!$A$1:$A$1001,customers!$C$1:$C$1001,,0))</f>
        <v/>
      </c>
      <c r="H411" s="2" t="str">
        <f>_xlfn.XLOOKUP(C411,customers!$A$1:$A$1001,customers!$G$1:$G$1001,,0)</f>
        <v>Ireland</v>
      </c>
      <c r="I411" t="str">
        <f>INDEX(products!$A$1:$G$49, MATCH(orders!$D411, products!$A$1:$A$49, 0), MATCH(orders!I$1, products!$A$1:$G$1, 0))</f>
        <v>Lib</v>
      </c>
      <c r="J411" t="str">
        <f>INDEX(products!$A$1:$G$49, MATCH(orders!$D411, products!$A$1:$A$49, 0), MATCH(orders!J$1, products!$A$1:$G$1, 0))</f>
        <v>L</v>
      </c>
      <c r="K411" s="5">
        <f>INDEX(products!$A$1:$G$49, MATCH(orders!$D411, products!$A$1:$A$49, 0), MATCH(orders!K$1, products!$A$1:$G$1, 0))</f>
        <v>1</v>
      </c>
      <c r="L411" s="6">
        <f>INDEX(products!$A$1:$G$49, MATCH(orders!$D411, products!$A$1:$A$49, 0), MATCH(orders!L$1, products!$A$1:$G$1, 0))</f>
        <v>15.85</v>
      </c>
      <c r="M411" s="6">
        <f t="shared" si="19"/>
        <v>47.55</v>
      </c>
      <c r="N411" t="str">
        <f t="shared" si="20"/>
        <v>Liberica</v>
      </c>
      <c r="O411" t="str">
        <f t="shared" si="18"/>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_xlfn.XLOOKUP(C412,customers!$A$2:$A$1001,customers!$B$2:$B$1001,,0)</f>
        <v>Giordano Lorenzin</v>
      </c>
      <c r="G412" s="2" t="str">
        <f>IF(_xlfn.XLOOKUP(C412,customers!$A$1:$A$1001,customers!$C$1:$C$1001,,0)=0,"",_xlfn.XLOOKUP(C412,customers!$A$1:$A$1001,customers!$C$1:$C$1001,,0))</f>
        <v/>
      </c>
      <c r="H412" s="2" t="str">
        <f>_xlfn.XLOOKUP(C412,customers!$A$1:$A$1001,customers!$G$1:$G$1001,,0)</f>
        <v>United States</v>
      </c>
      <c r="I412" t="str">
        <f>INDEX(products!$A$1:$G$49, MATCH(orders!$D412, products!$A$1:$A$49, 0), MATCH(orders!I$1, products!$A$1:$G$1, 0))</f>
        <v>Ara</v>
      </c>
      <c r="J412" t="str">
        <f>INDEX(products!$A$1:$G$49, MATCH(orders!$D412, products!$A$1:$A$49, 0), MATCH(orders!J$1, products!$A$1:$G$1, 0))</f>
        <v>L</v>
      </c>
      <c r="K412" s="5">
        <f>INDEX(products!$A$1:$G$49, MATCH(orders!$D412, products!$A$1:$A$49, 0), MATCH(orders!K$1, products!$A$1:$G$1, 0))</f>
        <v>0.2</v>
      </c>
      <c r="L412" s="6">
        <f>INDEX(products!$A$1:$G$49, MATCH(orders!$D412, products!$A$1:$A$49, 0), MATCH(orders!L$1, products!$A$1:$G$1, 0))</f>
        <v>3.8849999999999998</v>
      </c>
      <c r="M412" s="6">
        <f t="shared" si="19"/>
        <v>15.54</v>
      </c>
      <c r="N412" t="str">
        <f t="shared" si="20"/>
        <v>Arabica</v>
      </c>
      <c r="O412" t="str">
        <f t="shared" si="18"/>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_xlfn.XLOOKUP(C413,customers!$A$2:$A$1001,customers!$B$2:$B$1001,,0)</f>
        <v>Harwilll Bishell</v>
      </c>
      <c r="G413" s="2" t="str">
        <f>IF(_xlfn.XLOOKUP(C413,customers!$A$1:$A$1001,customers!$C$1:$C$1001,,0)=0,"",_xlfn.XLOOKUP(C413,customers!$A$1:$A$1001,customers!$C$1:$C$1001,,0))</f>
        <v/>
      </c>
      <c r="H413" s="2" t="str">
        <f>_xlfn.XLOOKUP(C413,customers!$A$1:$A$1001,customers!$G$1:$G$1001,,0)</f>
        <v>United States</v>
      </c>
      <c r="I413" t="str">
        <f>INDEX(products!$A$1:$G$49, MATCH(orders!$D413, products!$A$1:$A$49, 0), MATCH(orders!I$1, products!$A$1:$G$1, 0))</f>
        <v>Lib</v>
      </c>
      <c r="J413" t="str">
        <f>INDEX(products!$A$1:$G$49, MATCH(orders!$D413, products!$A$1:$A$49, 0), MATCH(orders!J$1, products!$A$1:$G$1, 0))</f>
        <v>M</v>
      </c>
      <c r="K413" s="5">
        <f>INDEX(products!$A$1:$G$49, MATCH(orders!$D413, products!$A$1:$A$49, 0), MATCH(orders!K$1, products!$A$1:$G$1, 0))</f>
        <v>1</v>
      </c>
      <c r="L413" s="6">
        <f>INDEX(products!$A$1:$G$49, MATCH(orders!$D413, products!$A$1:$A$49, 0), MATCH(orders!L$1, products!$A$1:$G$1, 0))</f>
        <v>14.55</v>
      </c>
      <c r="M413" s="6">
        <f t="shared" si="19"/>
        <v>87.300000000000011</v>
      </c>
      <c r="N413" t="str">
        <f t="shared" si="20"/>
        <v>Liberica</v>
      </c>
      <c r="O413" t="str">
        <f t="shared" si="18"/>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_xlfn.XLOOKUP(C414,customers!$A$2:$A$1001,customers!$B$2:$B$1001,,0)</f>
        <v>Freeland Missenden</v>
      </c>
      <c r="G414" s="2" t="str">
        <f>IF(_xlfn.XLOOKUP(C414,customers!$A$1:$A$1001,customers!$C$1:$C$1001,,0)=0,"",_xlfn.XLOOKUP(C414,customers!$A$1:$A$1001,customers!$C$1:$C$1001,,0))</f>
        <v/>
      </c>
      <c r="H414" s="2" t="str">
        <f>_xlfn.XLOOKUP(C414,customers!$A$1:$A$1001,customers!$G$1:$G$1001,,0)</f>
        <v>United States</v>
      </c>
      <c r="I414" t="str">
        <f>INDEX(products!$A$1:$G$49, MATCH(orders!$D414, products!$A$1:$A$49, 0), MATCH(orders!I$1, products!$A$1:$G$1, 0))</f>
        <v>Ara</v>
      </c>
      <c r="J414" t="str">
        <f>INDEX(products!$A$1:$G$49, MATCH(orders!$D414, products!$A$1:$A$49, 0), MATCH(orders!J$1, products!$A$1:$G$1, 0))</f>
        <v>M</v>
      </c>
      <c r="K414" s="5">
        <f>INDEX(products!$A$1:$G$49, MATCH(orders!$D414, products!$A$1:$A$49, 0), MATCH(orders!K$1, products!$A$1:$G$1, 0))</f>
        <v>1</v>
      </c>
      <c r="L414" s="6">
        <f>INDEX(products!$A$1:$G$49, MATCH(orders!$D414, products!$A$1:$A$49, 0), MATCH(orders!L$1, products!$A$1:$G$1, 0))</f>
        <v>11.25</v>
      </c>
      <c r="M414" s="6">
        <f t="shared" si="19"/>
        <v>56.25</v>
      </c>
      <c r="N414" t="str">
        <f t="shared" si="20"/>
        <v>Arabica</v>
      </c>
      <c r="O414" t="str">
        <f t="shared" si="18"/>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_xlfn.XLOOKUP(C415,customers!$A$2:$A$1001,customers!$B$2:$B$1001,,0)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 MATCH(orders!$D415, products!$A$1:$A$49, 0), MATCH(orders!I$1, products!$A$1:$G$1, 0))</f>
        <v>Lib</v>
      </c>
      <c r="J415" t="str">
        <f>INDEX(products!$A$1:$G$49, MATCH(orders!$D415, products!$A$1:$A$49, 0), MATCH(orders!J$1, products!$A$1:$G$1, 0))</f>
        <v>L</v>
      </c>
      <c r="K415" s="5">
        <f>INDEX(products!$A$1:$G$49, MATCH(orders!$D415, products!$A$1:$A$49, 0), MATCH(orders!K$1, products!$A$1:$G$1, 0))</f>
        <v>2.5</v>
      </c>
      <c r="L415" s="6">
        <f>INDEX(products!$A$1:$G$49, MATCH(orders!$D415, products!$A$1:$A$49, 0), MATCH(orders!L$1, products!$A$1:$G$1, 0))</f>
        <v>36.454999999999998</v>
      </c>
      <c r="M415" s="6">
        <f t="shared" si="19"/>
        <v>36.454999999999998</v>
      </c>
      <c r="N415" t="str">
        <f t="shared" si="20"/>
        <v>Liberica</v>
      </c>
      <c r="O415" t="str">
        <f t="shared" si="18"/>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_xlfn.XLOOKUP(C416,customers!$A$2:$A$1001,customers!$B$2:$B$1001,,0)</f>
        <v>Kiri Avramow</v>
      </c>
      <c r="G416" s="2" t="str">
        <f>IF(_xlfn.XLOOKUP(C416,customers!$A$1:$A$1001,customers!$C$1:$C$1001,,0)=0,"",_xlfn.XLOOKUP(C416,customers!$A$1:$A$1001,customers!$C$1:$C$1001,,0))</f>
        <v/>
      </c>
      <c r="H416" s="2" t="str">
        <f>_xlfn.XLOOKUP(C416,customers!$A$1:$A$1001,customers!$G$1:$G$1001,,0)</f>
        <v>United States</v>
      </c>
      <c r="I416" t="str">
        <f>INDEX(products!$A$1:$G$49, MATCH(orders!$D416, products!$A$1:$A$49, 0), MATCH(orders!I$1, products!$A$1:$G$1, 0))</f>
        <v>Rob</v>
      </c>
      <c r="J416" t="str">
        <f>INDEX(products!$A$1:$G$49, MATCH(orders!$D416, products!$A$1:$A$49, 0), MATCH(orders!J$1, products!$A$1:$G$1, 0))</f>
        <v>L</v>
      </c>
      <c r="K416" s="5">
        <f>INDEX(products!$A$1:$G$49, MATCH(orders!$D416, products!$A$1:$A$49, 0), MATCH(orders!K$1, products!$A$1:$G$1, 0))</f>
        <v>0.2</v>
      </c>
      <c r="L416" s="6">
        <f>INDEX(products!$A$1:$G$49, MATCH(orders!$D416, products!$A$1:$A$49, 0), MATCH(orders!L$1, products!$A$1:$G$1, 0))</f>
        <v>3.5849999999999995</v>
      </c>
      <c r="M416" s="6">
        <f t="shared" si="19"/>
        <v>10.754999999999999</v>
      </c>
      <c r="N416" t="str">
        <f t="shared" si="20"/>
        <v>Robusta</v>
      </c>
      <c r="O416" t="str">
        <f t="shared" si="18"/>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_xlfn.XLOOKUP(C417,customers!$A$2:$A$1001,customers!$B$2:$B$1001,,0)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 MATCH(orders!$D417, products!$A$1:$A$49, 0), MATCH(orders!I$1, products!$A$1:$G$1, 0))</f>
        <v>Rob</v>
      </c>
      <c r="J417" t="str">
        <f>INDEX(products!$A$1:$G$49, MATCH(orders!$D417, products!$A$1:$A$49, 0), MATCH(orders!J$1, products!$A$1:$G$1, 0))</f>
        <v>M</v>
      </c>
      <c r="K417" s="5">
        <f>INDEX(products!$A$1:$G$49, MATCH(orders!$D417, products!$A$1:$A$49, 0), MATCH(orders!K$1, products!$A$1:$G$1, 0))</f>
        <v>0.2</v>
      </c>
      <c r="L417" s="6">
        <f>INDEX(products!$A$1:$G$49, MATCH(orders!$D417, products!$A$1:$A$49, 0), MATCH(orders!L$1, products!$A$1:$G$1, 0))</f>
        <v>2.9849999999999999</v>
      </c>
      <c r="M417" s="6">
        <f t="shared" si="19"/>
        <v>8.9550000000000001</v>
      </c>
      <c r="N417" t="str">
        <f t="shared" si="20"/>
        <v>Robusta</v>
      </c>
      <c r="O417" t="str">
        <f t="shared" si="18"/>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_xlfn.XLOOKUP(C418,customers!$A$2:$A$1001,customers!$B$2:$B$1001,,0)</f>
        <v>Reggis Pracy</v>
      </c>
      <c r="G418" s="2" t="str">
        <f>IF(_xlfn.XLOOKUP(C418,customers!$A$1:$A$1001,customers!$C$1:$C$1001,,0)=0,"",_xlfn.XLOOKUP(C418,customers!$A$1:$A$1001,customers!$C$1:$C$1001,,0))</f>
        <v/>
      </c>
      <c r="H418" s="2" t="str">
        <f>_xlfn.XLOOKUP(C418,customers!$A$1:$A$1001,customers!$G$1:$G$1001,,0)</f>
        <v>United States</v>
      </c>
      <c r="I418" t="str">
        <f>INDEX(products!$A$1:$G$49, MATCH(orders!$D418, products!$A$1:$A$49, 0), MATCH(orders!I$1, products!$A$1:$G$1, 0))</f>
        <v>Ara</v>
      </c>
      <c r="J418" t="str">
        <f>INDEX(products!$A$1:$G$49, MATCH(orders!$D418, products!$A$1:$A$49, 0), MATCH(orders!J$1, products!$A$1:$G$1, 0))</f>
        <v>L</v>
      </c>
      <c r="K418" s="5">
        <f>INDEX(products!$A$1:$G$49, MATCH(orders!$D418, products!$A$1:$A$49, 0), MATCH(orders!K$1, products!$A$1:$G$1, 0))</f>
        <v>0.5</v>
      </c>
      <c r="L418" s="6">
        <f>INDEX(products!$A$1:$G$49, MATCH(orders!$D418, products!$A$1:$A$49, 0), MATCH(orders!L$1, products!$A$1:$G$1, 0))</f>
        <v>7.77</v>
      </c>
      <c r="M418" s="6">
        <f t="shared" si="19"/>
        <v>23.31</v>
      </c>
      <c r="N418" t="str">
        <f t="shared" si="20"/>
        <v>Arabica</v>
      </c>
      <c r="O418" t="str">
        <f t="shared" si="18"/>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_xlfn.XLOOKUP(C419,customers!$A$2:$A$1001,customers!$B$2:$B$1001,,0)</f>
        <v>Paula Denis</v>
      </c>
      <c r="G419" s="2" t="str">
        <f>IF(_xlfn.XLOOKUP(C419,customers!$A$1:$A$1001,customers!$C$1:$C$1001,,0)=0,"",_xlfn.XLOOKUP(C419,customers!$A$1:$A$1001,customers!$C$1:$C$1001,,0))</f>
        <v/>
      </c>
      <c r="H419" s="2" t="str">
        <f>_xlfn.XLOOKUP(C419,customers!$A$1:$A$1001,customers!$G$1:$G$1001,,0)</f>
        <v>United States</v>
      </c>
      <c r="I419" t="str">
        <f>INDEX(products!$A$1:$G$49, MATCH(orders!$D419, products!$A$1:$A$49, 0), MATCH(orders!I$1, products!$A$1:$G$1, 0))</f>
        <v>Ara</v>
      </c>
      <c r="J419" t="str">
        <f>INDEX(products!$A$1:$G$49, MATCH(orders!$D419, products!$A$1:$A$49, 0), MATCH(orders!J$1, products!$A$1:$G$1, 0))</f>
        <v>L</v>
      </c>
      <c r="K419" s="5">
        <f>INDEX(products!$A$1:$G$49, MATCH(orders!$D419, products!$A$1:$A$49, 0), MATCH(orders!K$1, products!$A$1:$G$1, 0))</f>
        <v>2.5</v>
      </c>
      <c r="L419" s="6">
        <f>INDEX(products!$A$1:$G$49, MATCH(orders!$D419, products!$A$1:$A$49, 0), MATCH(orders!L$1, products!$A$1:$G$1, 0))</f>
        <v>29.784999999999997</v>
      </c>
      <c r="M419" s="6">
        <f t="shared" si="19"/>
        <v>29.784999999999997</v>
      </c>
      <c r="N419" t="str">
        <f t="shared" si="20"/>
        <v>Arabica</v>
      </c>
      <c r="O419" t="str">
        <f t="shared" si="18"/>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_xlfn.XLOOKUP(C420,customers!$A$2:$A$1001,customers!$B$2:$B$1001,,0)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 MATCH(orders!$D420, products!$A$1:$A$49, 0), MATCH(orders!I$1, products!$A$1:$G$1, 0))</f>
        <v>Ara</v>
      </c>
      <c r="J420" t="str">
        <f>INDEX(products!$A$1:$G$49, MATCH(orders!$D420, products!$A$1:$A$49, 0), MATCH(orders!J$1, products!$A$1:$G$1, 0))</f>
        <v>L</v>
      </c>
      <c r="K420" s="5">
        <f>INDEX(products!$A$1:$G$49, MATCH(orders!$D420, products!$A$1:$A$49, 0), MATCH(orders!K$1, products!$A$1:$G$1, 0))</f>
        <v>2.5</v>
      </c>
      <c r="L420" s="6">
        <f>INDEX(products!$A$1:$G$49, MATCH(orders!$D420, products!$A$1:$A$49, 0), MATCH(orders!L$1, products!$A$1:$G$1, 0))</f>
        <v>29.784999999999997</v>
      </c>
      <c r="M420" s="6">
        <f t="shared" si="19"/>
        <v>148.92499999999998</v>
      </c>
      <c r="N420" t="str">
        <f t="shared" si="20"/>
        <v>Arabica</v>
      </c>
      <c r="O420" t="str">
        <f t="shared" si="18"/>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_xlfn.XLOOKUP(C421,customers!$A$2:$A$1001,customers!$B$2:$B$1001,,0)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 MATCH(orders!$D421, products!$A$1:$A$49, 0), MATCH(orders!I$1, products!$A$1:$G$1, 0))</f>
        <v>Lib</v>
      </c>
      <c r="J421" t="str">
        <f>INDEX(products!$A$1:$G$49, MATCH(orders!$D421, products!$A$1:$A$49, 0), MATCH(orders!J$1, products!$A$1:$G$1, 0))</f>
        <v>M</v>
      </c>
      <c r="K421" s="5">
        <f>INDEX(products!$A$1:$G$49, MATCH(orders!$D421, products!$A$1:$A$49, 0), MATCH(orders!K$1, products!$A$1:$G$1, 0))</f>
        <v>0.5</v>
      </c>
      <c r="L421" s="6">
        <f>INDEX(products!$A$1:$G$49, MATCH(orders!$D421, products!$A$1:$A$49, 0), MATCH(orders!L$1, products!$A$1:$G$1, 0))</f>
        <v>8.73</v>
      </c>
      <c r="M421" s="6">
        <f t="shared" si="19"/>
        <v>8.73</v>
      </c>
      <c r="N421" t="str">
        <f t="shared" si="20"/>
        <v>Liberica</v>
      </c>
      <c r="O421" t="str">
        <f t="shared" si="18"/>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_xlfn.XLOOKUP(C422,customers!$A$2:$A$1001,customers!$B$2:$B$1001,,0)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 MATCH(orders!$D422, products!$A$1:$A$49, 0), MATCH(orders!I$1, products!$A$1:$G$1, 0))</f>
        <v>Lib</v>
      </c>
      <c r="J422" t="str">
        <f>INDEX(products!$A$1:$G$49, MATCH(orders!$D422, products!$A$1:$A$49, 0), MATCH(orders!J$1, products!$A$1:$G$1, 0))</f>
        <v>D</v>
      </c>
      <c r="K422" s="5">
        <f>INDEX(products!$A$1:$G$49, MATCH(orders!$D422, products!$A$1:$A$49, 0), MATCH(orders!K$1, products!$A$1:$G$1, 0))</f>
        <v>0.5</v>
      </c>
      <c r="L422" s="6">
        <f>INDEX(products!$A$1:$G$49, MATCH(orders!$D422, products!$A$1:$A$49, 0), MATCH(orders!L$1, products!$A$1:$G$1, 0))</f>
        <v>7.77</v>
      </c>
      <c r="M422" s="6">
        <f t="shared" si="19"/>
        <v>31.08</v>
      </c>
      <c r="N422" t="str">
        <f t="shared" si="20"/>
        <v>Liberica</v>
      </c>
      <c r="O422" t="str">
        <f t="shared" si="18"/>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_xlfn.XLOOKUP(C423,customers!$A$2:$A$1001,customers!$B$2:$B$1001,,0)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 MATCH(orders!$D423, products!$A$1:$A$49, 0), MATCH(orders!I$1, products!$A$1:$G$1, 0))</f>
        <v>Ara</v>
      </c>
      <c r="J423" t="str">
        <f>INDEX(products!$A$1:$G$49, MATCH(orders!$D423, products!$A$1:$A$49, 0), MATCH(orders!J$1, products!$A$1:$G$1, 0))</f>
        <v>D</v>
      </c>
      <c r="K423" s="5">
        <f>INDEX(products!$A$1:$G$49, MATCH(orders!$D423, products!$A$1:$A$49, 0), MATCH(orders!K$1, products!$A$1:$G$1, 0))</f>
        <v>2.5</v>
      </c>
      <c r="L423" s="6">
        <f>INDEX(products!$A$1:$G$49, MATCH(orders!$D423, products!$A$1:$A$49, 0), MATCH(orders!L$1, products!$A$1:$G$1, 0))</f>
        <v>22.884999999999998</v>
      </c>
      <c r="M423" s="6">
        <f t="shared" si="19"/>
        <v>137.31</v>
      </c>
      <c r="N423" t="str">
        <f t="shared" si="20"/>
        <v>Arabica</v>
      </c>
      <c r="O423" t="str">
        <f t="shared" si="18"/>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_xlfn.XLOOKUP(C424,customers!$A$2:$A$1001,customers!$B$2:$B$1001,,0)</f>
        <v>Nevins Glowacz</v>
      </c>
      <c r="G424" s="2" t="str">
        <f>IF(_xlfn.XLOOKUP(C424,customers!$A$1:$A$1001,customers!$C$1:$C$1001,,0)=0,"",_xlfn.XLOOKUP(C424,customers!$A$1:$A$1001,customers!$C$1:$C$1001,,0))</f>
        <v/>
      </c>
      <c r="H424" s="2" t="str">
        <f>_xlfn.XLOOKUP(C424,customers!$A$1:$A$1001,customers!$G$1:$G$1001,,0)</f>
        <v>United States</v>
      </c>
      <c r="I424" t="str">
        <f>INDEX(products!$A$1:$G$49, MATCH(orders!$D424, products!$A$1:$A$49, 0), MATCH(orders!I$1, products!$A$1:$G$1, 0))</f>
        <v>Ara</v>
      </c>
      <c r="J424" t="str">
        <f>INDEX(products!$A$1:$G$49, MATCH(orders!$D424, products!$A$1:$A$49, 0), MATCH(orders!J$1, products!$A$1:$G$1, 0))</f>
        <v>D</v>
      </c>
      <c r="K424" s="5">
        <f>INDEX(products!$A$1:$G$49, MATCH(orders!$D424, products!$A$1:$A$49, 0), MATCH(orders!K$1, products!$A$1:$G$1, 0))</f>
        <v>0.5</v>
      </c>
      <c r="L424" s="6">
        <f>INDEX(products!$A$1:$G$49, MATCH(orders!$D424, products!$A$1:$A$49, 0), MATCH(orders!L$1, products!$A$1:$G$1, 0))</f>
        <v>5.97</v>
      </c>
      <c r="M424" s="6">
        <f t="shared" si="19"/>
        <v>29.849999999999998</v>
      </c>
      <c r="N424" t="str">
        <f t="shared" si="20"/>
        <v>Arabica</v>
      </c>
      <c r="O424" t="str">
        <f t="shared" si="18"/>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_xlfn.XLOOKUP(C425,customers!$A$2:$A$1001,customers!$B$2:$B$1001,,0)</f>
        <v>Adelice Isabell</v>
      </c>
      <c r="G425" s="2" t="str">
        <f>IF(_xlfn.XLOOKUP(C425,customers!$A$1:$A$1001,customers!$C$1:$C$1001,,0)=0,"",_xlfn.XLOOKUP(C425,customers!$A$1:$A$1001,customers!$C$1:$C$1001,,0))</f>
        <v/>
      </c>
      <c r="H425" s="2" t="str">
        <f>_xlfn.XLOOKUP(C425,customers!$A$1:$A$1001,customers!$G$1:$G$1001,,0)</f>
        <v>United States</v>
      </c>
      <c r="I425" t="str">
        <f>INDEX(products!$A$1:$G$49, MATCH(orders!$D425, products!$A$1:$A$49, 0), MATCH(orders!I$1, products!$A$1:$G$1, 0))</f>
        <v>Rob</v>
      </c>
      <c r="J425" t="str">
        <f>INDEX(products!$A$1:$G$49, MATCH(orders!$D425, products!$A$1:$A$49, 0), MATCH(orders!J$1, products!$A$1:$G$1, 0))</f>
        <v>M</v>
      </c>
      <c r="K425" s="5">
        <f>INDEX(products!$A$1:$G$49, MATCH(orders!$D425, products!$A$1:$A$49, 0), MATCH(orders!K$1, products!$A$1:$G$1, 0))</f>
        <v>0.5</v>
      </c>
      <c r="L425" s="6">
        <f>INDEX(products!$A$1:$G$49, MATCH(orders!$D425, products!$A$1:$A$49, 0), MATCH(orders!L$1, products!$A$1:$G$1, 0))</f>
        <v>5.97</v>
      </c>
      <c r="M425" s="6">
        <f t="shared" si="19"/>
        <v>17.91</v>
      </c>
      <c r="N425" t="str">
        <f t="shared" si="20"/>
        <v>Robusta</v>
      </c>
      <c r="O425" t="str">
        <f t="shared" si="18"/>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_xlfn.XLOOKUP(C426,customers!$A$2:$A$1001,customers!$B$2:$B$1001,,0)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 MATCH(orders!$D426, products!$A$1:$A$49, 0), MATCH(orders!I$1, products!$A$1:$G$1, 0))</f>
        <v>Exc</v>
      </c>
      <c r="J426" t="str">
        <f>INDEX(products!$A$1:$G$49, MATCH(orders!$D426, products!$A$1:$A$49, 0), MATCH(orders!J$1, products!$A$1:$G$1, 0))</f>
        <v>L</v>
      </c>
      <c r="K426" s="5">
        <f>INDEX(products!$A$1:$G$49, MATCH(orders!$D426, products!$A$1:$A$49, 0), MATCH(orders!K$1, products!$A$1:$G$1, 0))</f>
        <v>0.5</v>
      </c>
      <c r="L426" s="6">
        <f>INDEX(products!$A$1:$G$49, MATCH(orders!$D426, products!$A$1:$A$49, 0), MATCH(orders!L$1, products!$A$1:$G$1, 0))</f>
        <v>8.91</v>
      </c>
      <c r="M426" s="6">
        <f t="shared" si="19"/>
        <v>26.73</v>
      </c>
      <c r="N426" t="str">
        <f t="shared" si="20"/>
        <v>Excelsa</v>
      </c>
      <c r="O426" t="str">
        <f t="shared" si="18"/>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_xlfn.XLOOKUP(C427,customers!$A$2:$A$1001,customers!$B$2:$B$1001,,0)</f>
        <v>Alric Darth</v>
      </c>
      <c r="G427" s="2" t="str">
        <f>IF(_xlfn.XLOOKUP(C427,customers!$A$1:$A$1001,customers!$C$1:$C$1001,,0)=0,"",_xlfn.XLOOKUP(C427,customers!$A$1:$A$1001,customers!$C$1:$C$1001,,0))</f>
        <v>adarthbt@t.co</v>
      </c>
      <c r="H427" s="2" t="str">
        <f>_xlfn.XLOOKUP(C427,customers!$A$1:$A$1001,customers!$G$1:$G$1001,,0)</f>
        <v>United States</v>
      </c>
      <c r="I427" t="str">
        <f>INDEX(products!$A$1:$G$49, MATCH(orders!$D427, products!$A$1:$A$49, 0), MATCH(orders!I$1, products!$A$1:$G$1, 0))</f>
        <v>Rob</v>
      </c>
      <c r="J427" t="str">
        <f>INDEX(products!$A$1:$G$49, MATCH(orders!$D427, products!$A$1:$A$49, 0), MATCH(orders!J$1, products!$A$1:$G$1, 0))</f>
        <v>D</v>
      </c>
      <c r="K427" s="5">
        <f>INDEX(products!$A$1:$G$49, MATCH(orders!$D427, products!$A$1:$A$49, 0), MATCH(orders!K$1, products!$A$1:$G$1, 0))</f>
        <v>1</v>
      </c>
      <c r="L427" s="6">
        <f>INDEX(products!$A$1:$G$49, MATCH(orders!$D427, products!$A$1:$A$49, 0), MATCH(orders!L$1, products!$A$1:$G$1, 0))</f>
        <v>8.9499999999999993</v>
      </c>
      <c r="M427" s="6">
        <f t="shared" si="19"/>
        <v>17.899999999999999</v>
      </c>
      <c r="N427" t="str">
        <f t="shared" si="20"/>
        <v>Robusta</v>
      </c>
      <c r="O427" t="str">
        <f t="shared" si="18"/>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_xlfn.XLOOKUP(C428,customers!$A$2:$A$1001,customers!$B$2:$B$1001,,0)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 MATCH(orders!$D428, products!$A$1:$A$49, 0), MATCH(orders!I$1, products!$A$1:$G$1, 0))</f>
        <v>Rob</v>
      </c>
      <c r="J428" t="str">
        <f>INDEX(products!$A$1:$G$49, MATCH(orders!$D428, products!$A$1:$A$49, 0), MATCH(orders!J$1, products!$A$1:$G$1, 0))</f>
        <v>L</v>
      </c>
      <c r="K428" s="5">
        <f>INDEX(products!$A$1:$G$49, MATCH(orders!$D428, products!$A$1:$A$49, 0), MATCH(orders!K$1, products!$A$1:$G$1, 0))</f>
        <v>0.2</v>
      </c>
      <c r="L428" s="6">
        <f>INDEX(products!$A$1:$G$49, MATCH(orders!$D428, products!$A$1:$A$49, 0), MATCH(orders!L$1, products!$A$1:$G$1, 0))</f>
        <v>3.5849999999999995</v>
      </c>
      <c r="M428" s="6">
        <f t="shared" si="19"/>
        <v>14.339999999999998</v>
      </c>
      <c r="N428" t="str">
        <f t="shared" si="20"/>
        <v>Robusta</v>
      </c>
      <c r="O428" t="str">
        <f t="shared" si="18"/>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_xlfn.XLOOKUP(C429,customers!$A$2:$A$1001,customers!$B$2:$B$1001,,0)</f>
        <v>Kynthia Berick</v>
      </c>
      <c r="G429" s="2" t="str">
        <f>IF(_xlfn.XLOOKUP(C429,customers!$A$1:$A$1001,customers!$C$1:$C$1001,,0)=0,"",_xlfn.XLOOKUP(C429,customers!$A$1:$A$1001,customers!$C$1:$C$1001,,0))</f>
        <v/>
      </c>
      <c r="H429" s="2" t="str">
        <f>_xlfn.XLOOKUP(C429,customers!$A$1:$A$1001,customers!$G$1:$G$1001,,0)</f>
        <v>United States</v>
      </c>
      <c r="I429" t="str">
        <f>INDEX(products!$A$1:$G$49, MATCH(orders!$D429, products!$A$1:$A$49, 0), MATCH(orders!I$1, products!$A$1:$G$1, 0))</f>
        <v>Ara</v>
      </c>
      <c r="J429" t="str">
        <f>INDEX(products!$A$1:$G$49, MATCH(orders!$D429, products!$A$1:$A$49, 0), MATCH(orders!J$1, products!$A$1:$G$1, 0))</f>
        <v>M</v>
      </c>
      <c r="K429" s="5">
        <f>INDEX(products!$A$1:$G$49, MATCH(orders!$D429, products!$A$1:$A$49, 0), MATCH(orders!K$1, products!$A$1:$G$1, 0))</f>
        <v>2.5</v>
      </c>
      <c r="L429" s="6">
        <f>INDEX(products!$A$1:$G$49, MATCH(orders!$D429, products!$A$1:$A$49, 0), MATCH(orders!L$1, products!$A$1:$G$1, 0))</f>
        <v>25.874999999999996</v>
      </c>
      <c r="M429" s="6">
        <f t="shared" si="19"/>
        <v>77.624999999999986</v>
      </c>
      <c r="N429" t="str">
        <f t="shared" si="20"/>
        <v>Arabica</v>
      </c>
      <c r="O429" t="str">
        <f t="shared" si="18"/>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_xlfn.XLOOKUP(C430,customers!$A$2:$A$1001,customers!$B$2:$B$1001,,0)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 MATCH(orders!$D430, products!$A$1:$A$49, 0), MATCH(orders!I$1, products!$A$1:$G$1, 0))</f>
        <v>Rob</v>
      </c>
      <c r="J430" t="str">
        <f>INDEX(products!$A$1:$G$49, MATCH(orders!$D430, products!$A$1:$A$49, 0), MATCH(orders!J$1, products!$A$1:$G$1, 0))</f>
        <v>L</v>
      </c>
      <c r="K430" s="5">
        <f>INDEX(products!$A$1:$G$49, MATCH(orders!$D430, products!$A$1:$A$49, 0), MATCH(orders!K$1, products!$A$1:$G$1, 0))</f>
        <v>1</v>
      </c>
      <c r="L430" s="6">
        <f>INDEX(products!$A$1:$G$49, MATCH(orders!$D430, products!$A$1:$A$49, 0), MATCH(orders!L$1, products!$A$1:$G$1, 0))</f>
        <v>11.95</v>
      </c>
      <c r="M430" s="6">
        <f t="shared" si="19"/>
        <v>59.75</v>
      </c>
      <c r="N430" t="str">
        <f t="shared" si="20"/>
        <v>Robusta</v>
      </c>
      <c r="O430" t="str">
        <f t="shared" si="18"/>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_xlfn.XLOOKUP(C431,customers!$A$2:$A$1001,customers!$B$2:$B$1001,,0)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 MATCH(orders!$D431, products!$A$1:$A$49, 0), MATCH(orders!I$1, products!$A$1:$G$1, 0))</f>
        <v>Ara</v>
      </c>
      <c r="J431" t="str">
        <f>INDEX(products!$A$1:$G$49, MATCH(orders!$D431, products!$A$1:$A$49, 0), MATCH(orders!J$1, products!$A$1:$G$1, 0))</f>
        <v>L</v>
      </c>
      <c r="K431" s="5">
        <f>INDEX(products!$A$1:$G$49, MATCH(orders!$D431, products!$A$1:$A$49, 0), MATCH(orders!K$1, products!$A$1:$G$1, 0))</f>
        <v>1</v>
      </c>
      <c r="L431" s="6">
        <f>INDEX(products!$A$1:$G$49, MATCH(orders!$D431, products!$A$1:$A$49, 0), MATCH(orders!L$1, products!$A$1:$G$1, 0))</f>
        <v>12.95</v>
      </c>
      <c r="M431" s="6">
        <f t="shared" si="19"/>
        <v>77.699999999999989</v>
      </c>
      <c r="N431" t="str">
        <f t="shared" si="20"/>
        <v>Arabica</v>
      </c>
      <c r="O431" t="str">
        <f t="shared" si="18"/>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_xlfn.XLOOKUP(C432,customers!$A$2:$A$1001,customers!$B$2:$B$1001,,0)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 MATCH(orders!$D432, products!$A$1:$A$49, 0), MATCH(orders!I$1, products!$A$1:$G$1, 0))</f>
        <v>Rob</v>
      </c>
      <c r="J432" t="str">
        <f>INDEX(products!$A$1:$G$49, MATCH(orders!$D432, products!$A$1:$A$49, 0), MATCH(orders!J$1, products!$A$1:$G$1, 0))</f>
        <v>D</v>
      </c>
      <c r="K432" s="5">
        <f>INDEX(products!$A$1:$G$49, MATCH(orders!$D432, products!$A$1:$A$49, 0), MATCH(orders!K$1, products!$A$1:$G$1, 0))</f>
        <v>0.2</v>
      </c>
      <c r="L432" s="6">
        <f>INDEX(products!$A$1:$G$49, MATCH(orders!$D432, products!$A$1:$A$49, 0), MATCH(orders!L$1, products!$A$1:$G$1, 0))</f>
        <v>2.6849999999999996</v>
      </c>
      <c r="M432" s="6">
        <f t="shared" si="19"/>
        <v>5.3699999999999992</v>
      </c>
      <c r="N432" t="str">
        <f t="shared" si="20"/>
        <v>Robusta</v>
      </c>
      <c r="O432" t="str">
        <f t="shared" si="18"/>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_xlfn.XLOOKUP(C433,customers!$A$2:$A$1001,customers!$B$2:$B$1001,,0)</f>
        <v>Witty Ranson</v>
      </c>
      <c r="G433" s="2" t="str">
        <f>IF(_xlfn.XLOOKUP(C433,customers!$A$1:$A$1001,customers!$C$1:$C$1001,,0)=0,"",_xlfn.XLOOKUP(C433,customers!$A$1:$A$1001,customers!$C$1:$C$1001,,0))</f>
        <v>wransonbz@ted.com</v>
      </c>
      <c r="H433" s="2" t="str">
        <f>_xlfn.XLOOKUP(C433,customers!$A$1:$A$1001,customers!$G$1:$G$1001,,0)</f>
        <v>Ireland</v>
      </c>
      <c r="I433" t="str">
        <f>INDEX(products!$A$1:$G$49, MATCH(orders!$D433, products!$A$1:$A$49, 0), MATCH(orders!I$1, products!$A$1:$G$1, 0))</f>
        <v>Exc</v>
      </c>
      <c r="J433" t="str">
        <f>INDEX(products!$A$1:$G$49, MATCH(orders!$D433, products!$A$1:$A$49, 0), MATCH(orders!J$1, products!$A$1:$G$1, 0))</f>
        <v>D</v>
      </c>
      <c r="K433" s="5">
        <f>INDEX(products!$A$1:$G$49, MATCH(orders!$D433, products!$A$1:$A$49, 0), MATCH(orders!K$1, products!$A$1:$G$1, 0))</f>
        <v>2.5</v>
      </c>
      <c r="L433" s="6">
        <f>INDEX(products!$A$1:$G$49, MATCH(orders!$D433, products!$A$1:$A$49, 0), MATCH(orders!L$1, products!$A$1:$G$1, 0))</f>
        <v>27.945</v>
      </c>
      <c r="M433" s="6">
        <f t="shared" si="19"/>
        <v>83.835000000000008</v>
      </c>
      <c r="N433" t="str">
        <f t="shared" si="20"/>
        <v>Excelsa</v>
      </c>
      <c r="O433" t="str">
        <f t="shared" si="18"/>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_xlfn.XLOOKUP(C434,customers!$A$2:$A$1001,customers!$B$2:$B$1001,,0)</f>
        <v>Rod Gowdie</v>
      </c>
      <c r="G434" s="2" t="str">
        <f>IF(_xlfn.XLOOKUP(C434,customers!$A$1:$A$1001,customers!$C$1:$C$1001,,0)=0,"",_xlfn.XLOOKUP(C434,customers!$A$1:$A$1001,customers!$C$1:$C$1001,,0))</f>
        <v/>
      </c>
      <c r="H434" s="2" t="str">
        <f>_xlfn.XLOOKUP(C434,customers!$A$1:$A$1001,customers!$G$1:$G$1001,,0)</f>
        <v>United States</v>
      </c>
      <c r="I434" t="str">
        <f>INDEX(products!$A$1:$G$49, MATCH(orders!$D434, products!$A$1:$A$49, 0), MATCH(orders!I$1, products!$A$1:$G$1, 0))</f>
        <v>Ara</v>
      </c>
      <c r="J434" t="str">
        <f>INDEX(products!$A$1:$G$49, MATCH(orders!$D434, products!$A$1:$A$49, 0), MATCH(orders!J$1, products!$A$1:$G$1, 0))</f>
        <v>M</v>
      </c>
      <c r="K434" s="5">
        <f>INDEX(products!$A$1:$G$49, MATCH(orders!$D434, products!$A$1:$A$49, 0), MATCH(orders!K$1, products!$A$1:$G$1, 0))</f>
        <v>1</v>
      </c>
      <c r="L434" s="6">
        <f>INDEX(products!$A$1:$G$49, MATCH(orders!$D434, products!$A$1:$A$49, 0), MATCH(orders!L$1, products!$A$1:$G$1, 0))</f>
        <v>11.25</v>
      </c>
      <c r="M434" s="6">
        <f t="shared" si="19"/>
        <v>22.5</v>
      </c>
      <c r="N434" t="str">
        <f t="shared" si="20"/>
        <v>Arabica</v>
      </c>
      <c r="O434" t="str">
        <f t="shared" si="18"/>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_xlfn.XLOOKUP(C435,customers!$A$2:$A$1001,customers!$B$2:$B$1001,,0)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 MATCH(orders!$D435, products!$A$1:$A$49, 0), MATCH(orders!I$1, products!$A$1:$G$1, 0))</f>
        <v>Lib</v>
      </c>
      <c r="J435" t="str">
        <f>INDEX(products!$A$1:$G$49, MATCH(orders!$D435, products!$A$1:$A$49, 0), MATCH(orders!J$1, products!$A$1:$G$1, 0))</f>
        <v>M</v>
      </c>
      <c r="K435" s="5">
        <f>INDEX(products!$A$1:$G$49, MATCH(orders!$D435, products!$A$1:$A$49, 0), MATCH(orders!K$1, products!$A$1:$G$1, 0))</f>
        <v>2.5</v>
      </c>
      <c r="L435" s="6">
        <f>INDEX(products!$A$1:$G$49, MATCH(orders!$D435, products!$A$1:$A$49, 0), MATCH(orders!L$1, products!$A$1:$G$1, 0))</f>
        <v>33.464999999999996</v>
      </c>
      <c r="M435" s="6">
        <f t="shared" si="19"/>
        <v>200.78999999999996</v>
      </c>
      <c r="N435" t="str">
        <f t="shared" si="20"/>
        <v>Liberica</v>
      </c>
      <c r="O435" t="str">
        <f t="shared" si="18"/>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_xlfn.XLOOKUP(C436,customers!$A$2:$A$1001,customers!$B$2:$B$1001,,0)</f>
        <v>Nevsa Fields</v>
      </c>
      <c r="G436" s="2" t="str">
        <f>IF(_xlfn.XLOOKUP(C436,customers!$A$1:$A$1001,customers!$C$1:$C$1001,,0)=0,"",_xlfn.XLOOKUP(C436,customers!$A$1:$A$1001,customers!$C$1:$C$1001,,0))</f>
        <v/>
      </c>
      <c r="H436" s="2" t="str">
        <f>_xlfn.XLOOKUP(C436,customers!$A$1:$A$1001,customers!$G$1:$G$1001,,0)</f>
        <v>United States</v>
      </c>
      <c r="I436" t="str">
        <f>INDEX(products!$A$1:$G$49, MATCH(orders!$D436, products!$A$1:$A$49, 0), MATCH(orders!I$1, products!$A$1:$G$1, 0))</f>
        <v>Ara</v>
      </c>
      <c r="J436" t="str">
        <f>INDEX(products!$A$1:$G$49, MATCH(orders!$D436, products!$A$1:$A$49, 0), MATCH(orders!J$1, products!$A$1:$G$1, 0))</f>
        <v>M</v>
      </c>
      <c r="K436" s="5">
        <f>INDEX(products!$A$1:$G$49, MATCH(orders!$D436, products!$A$1:$A$49, 0), MATCH(orders!K$1, products!$A$1:$G$1, 0))</f>
        <v>1</v>
      </c>
      <c r="L436" s="6">
        <f>INDEX(products!$A$1:$G$49, MATCH(orders!$D436, products!$A$1:$A$49, 0), MATCH(orders!L$1, products!$A$1:$G$1, 0))</f>
        <v>11.25</v>
      </c>
      <c r="M436" s="6">
        <f t="shared" si="19"/>
        <v>67.5</v>
      </c>
      <c r="N436" t="str">
        <f t="shared" si="20"/>
        <v>Arabica</v>
      </c>
      <c r="O436" t="str">
        <f t="shared" si="18"/>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_xlfn.XLOOKUP(C437,customers!$A$2:$A$1001,customers!$B$2:$B$1001,,0)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 MATCH(orders!$D437, products!$A$1:$A$49, 0), MATCH(orders!I$1, products!$A$1:$G$1, 0))</f>
        <v>Exc</v>
      </c>
      <c r="J437" t="str">
        <f>INDEX(products!$A$1:$G$49, MATCH(orders!$D437, products!$A$1:$A$49, 0), MATCH(orders!J$1, products!$A$1:$G$1, 0))</f>
        <v>M</v>
      </c>
      <c r="K437" s="5">
        <f>INDEX(products!$A$1:$G$49, MATCH(orders!$D437, products!$A$1:$A$49, 0), MATCH(orders!K$1, products!$A$1:$G$1, 0))</f>
        <v>0.5</v>
      </c>
      <c r="L437" s="6">
        <f>INDEX(products!$A$1:$G$49, MATCH(orders!$D437, products!$A$1:$A$49, 0), MATCH(orders!L$1, products!$A$1:$G$1, 0))</f>
        <v>8.25</v>
      </c>
      <c r="M437" s="6">
        <f t="shared" si="19"/>
        <v>8.25</v>
      </c>
      <c r="N437" t="str">
        <f t="shared" si="20"/>
        <v>Excelsa</v>
      </c>
      <c r="O437" t="str">
        <f t="shared" si="18"/>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_xlfn.XLOOKUP(C438,customers!$A$2:$A$1001,customers!$B$2:$B$1001,,0)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 MATCH(orders!$D438, products!$A$1:$A$49, 0), MATCH(orders!I$1, products!$A$1:$G$1, 0))</f>
        <v>Lib</v>
      </c>
      <c r="J438" t="str">
        <f>INDEX(products!$A$1:$G$49, MATCH(orders!$D438, products!$A$1:$A$49, 0), MATCH(orders!J$1, products!$A$1:$G$1, 0))</f>
        <v>L</v>
      </c>
      <c r="K438" s="5">
        <f>INDEX(products!$A$1:$G$49, MATCH(orders!$D438, products!$A$1:$A$49, 0), MATCH(orders!K$1, products!$A$1:$G$1, 0))</f>
        <v>0.2</v>
      </c>
      <c r="L438" s="6">
        <f>INDEX(products!$A$1:$G$49, MATCH(orders!$D438, products!$A$1:$A$49, 0), MATCH(orders!L$1, products!$A$1:$G$1, 0))</f>
        <v>4.7549999999999999</v>
      </c>
      <c r="M438" s="6">
        <f t="shared" si="19"/>
        <v>9.51</v>
      </c>
      <c r="N438" t="str">
        <f t="shared" si="20"/>
        <v>Liberica</v>
      </c>
      <c r="O438" t="str">
        <f t="shared" si="18"/>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_xlfn.XLOOKUP(C439,customers!$A$2:$A$1001,customers!$B$2:$B$1001,,0)</f>
        <v>Willabella Abramski</v>
      </c>
      <c r="G439" s="2" t="str">
        <f>IF(_xlfn.XLOOKUP(C439,customers!$A$1:$A$1001,customers!$C$1:$C$1001,,0)=0,"",_xlfn.XLOOKUP(C439,customers!$A$1:$A$1001,customers!$C$1:$C$1001,,0))</f>
        <v/>
      </c>
      <c r="H439" s="2" t="str">
        <f>_xlfn.XLOOKUP(C439,customers!$A$1:$A$1001,customers!$G$1:$G$1001,,0)</f>
        <v>United States</v>
      </c>
      <c r="I439" t="str">
        <f>INDEX(products!$A$1:$G$49, MATCH(orders!$D439, products!$A$1:$A$49, 0), MATCH(orders!I$1, products!$A$1:$G$1, 0))</f>
        <v>Lib</v>
      </c>
      <c r="J439" t="str">
        <f>INDEX(products!$A$1:$G$49, MATCH(orders!$D439, products!$A$1:$A$49, 0), MATCH(orders!J$1, products!$A$1:$G$1, 0))</f>
        <v>D</v>
      </c>
      <c r="K439" s="5">
        <f>INDEX(products!$A$1:$G$49, MATCH(orders!$D439, products!$A$1:$A$49, 0), MATCH(orders!K$1, products!$A$1:$G$1, 0))</f>
        <v>2.5</v>
      </c>
      <c r="L439" s="6">
        <f>INDEX(products!$A$1:$G$49, MATCH(orders!$D439, products!$A$1:$A$49, 0), MATCH(orders!L$1, products!$A$1:$G$1, 0))</f>
        <v>29.784999999999997</v>
      </c>
      <c r="M439" s="6">
        <f t="shared" si="19"/>
        <v>29.784999999999997</v>
      </c>
      <c r="N439" t="str">
        <f t="shared" si="20"/>
        <v>Liberica</v>
      </c>
      <c r="O439" t="str">
        <f t="shared" si="18"/>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_xlfn.XLOOKUP(C440,customers!$A$2:$A$1001,customers!$B$2:$B$1001,,0)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 MATCH(orders!$D440, products!$A$1:$A$49, 0), MATCH(orders!I$1, products!$A$1:$G$1, 0))</f>
        <v>Lib</v>
      </c>
      <c r="J440" t="str">
        <f>INDEX(products!$A$1:$G$49, MATCH(orders!$D440, products!$A$1:$A$49, 0), MATCH(orders!J$1, products!$A$1:$G$1, 0))</f>
        <v>D</v>
      </c>
      <c r="K440" s="5">
        <f>INDEX(products!$A$1:$G$49, MATCH(orders!$D440, products!$A$1:$A$49, 0), MATCH(orders!K$1, products!$A$1:$G$1, 0))</f>
        <v>0.5</v>
      </c>
      <c r="L440" s="6">
        <f>INDEX(products!$A$1:$G$49, MATCH(orders!$D440, products!$A$1:$A$49, 0), MATCH(orders!L$1, products!$A$1:$G$1, 0))</f>
        <v>7.77</v>
      </c>
      <c r="M440" s="6">
        <f t="shared" si="19"/>
        <v>15.54</v>
      </c>
      <c r="N440" t="str">
        <f t="shared" si="20"/>
        <v>Liberica</v>
      </c>
      <c r="O440" t="str">
        <f t="shared" si="18"/>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_xlfn.XLOOKUP(C441,customers!$A$2:$A$1001,customers!$B$2:$B$1001,,0)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 MATCH(orders!$D441, products!$A$1:$A$49, 0), MATCH(orders!I$1, products!$A$1:$G$1, 0))</f>
        <v>Exc</v>
      </c>
      <c r="J441" t="str">
        <f>INDEX(products!$A$1:$G$49, MATCH(orders!$D441, products!$A$1:$A$49, 0), MATCH(orders!J$1, products!$A$1:$G$1, 0))</f>
        <v>L</v>
      </c>
      <c r="K441" s="5">
        <f>INDEX(products!$A$1:$G$49, MATCH(orders!$D441, products!$A$1:$A$49, 0), MATCH(orders!K$1, products!$A$1:$G$1, 0))</f>
        <v>0.5</v>
      </c>
      <c r="L441" s="6">
        <f>INDEX(products!$A$1:$G$49, MATCH(orders!$D441, products!$A$1:$A$49, 0), MATCH(orders!L$1, products!$A$1:$G$1, 0))</f>
        <v>8.91</v>
      </c>
      <c r="M441" s="6">
        <f t="shared" si="19"/>
        <v>35.64</v>
      </c>
      <c r="N441" t="str">
        <f t="shared" si="20"/>
        <v>Excelsa</v>
      </c>
      <c r="O441" t="str">
        <f t="shared" si="18"/>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_xlfn.XLOOKUP(C442,customers!$A$2:$A$1001,customers!$B$2:$B$1001,,0)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 MATCH(orders!$D442, products!$A$1:$A$49, 0), MATCH(orders!I$1, products!$A$1:$G$1, 0))</f>
        <v>Ara</v>
      </c>
      <c r="J442" t="str">
        <f>INDEX(products!$A$1:$G$49, MATCH(orders!$D442, products!$A$1:$A$49, 0), MATCH(orders!J$1, products!$A$1:$G$1, 0))</f>
        <v>M</v>
      </c>
      <c r="K442" s="5">
        <f>INDEX(products!$A$1:$G$49, MATCH(orders!$D442, products!$A$1:$A$49, 0), MATCH(orders!K$1, products!$A$1:$G$1, 0))</f>
        <v>2.5</v>
      </c>
      <c r="L442" s="6">
        <f>INDEX(products!$A$1:$G$49, MATCH(orders!$D442, products!$A$1:$A$49, 0), MATCH(orders!L$1, products!$A$1:$G$1, 0))</f>
        <v>25.874999999999996</v>
      </c>
      <c r="M442" s="6">
        <f t="shared" si="19"/>
        <v>103.49999999999999</v>
      </c>
      <c r="N442" t="str">
        <f t="shared" si="20"/>
        <v>Arabica</v>
      </c>
      <c r="O442" t="str">
        <f t="shared" si="18"/>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_xlfn.XLOOKUP(C443,customers!$A$2:$A$1001,customers!$B$2:$B$1001,,0)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 MATCH(orders!$D443, products!$A$1:$A$49, 0), MATCH(orders!I$1, products!$A$1:$G$1, 0))</f>
        <v>Exc</v>
      </c>
      <c r="J443" t="str">
        <f>INDEX(products!$A$1:$G$49, MATCH(orders!$D443, products!$A$1:$A$49, 0), MATCH(orders!J$1, products!$A$1:$G$1, 0))</f>
        <v>D</v>
      </c>
      <c r="K443" s="5">
        <f>INDEX(products!$A$1:$G$49, MATCH(orders!$D443, products!$A$1:$A$49, 0), MATCH(orders!K$1, products!$A$1:$G$1, 0))</f>
        <v>1</v>
      </c>
      <c r="L443" s="6">
        <f>INDEX(products!$A$1:$G$49, MATCH(orders!$D443, products!$A$1:$A$49, 0), MATCH(orders!L$1, products!$A$1:$G$1, 0))</f>
        <v>12.15</v>
      </c>
      <c r="M443" s="6">
        <f t="shared" si="19"/>
        <v>36.450000000000003</v>
      </c>
      <c r="N443" t="str">
        <f t="shared" si="20"/>
        <v>Excelsa</v>
      </c>
      <c r="O443" t="str">
        <f t="shared" si="18"/>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_xlfn.XLOOKUP(C444,customers!$A$2:$A$1001,customers!$B$2:$B$1001,,0)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 MATCH(orders!$D444, products!$A$1:$A$49, 0), MATCH(orders!I$1, products!$A$1:$G$1, 0))</f>
        <v>Rob</v>
      </c>
      <c r="J444" t="str">
        <f>INDEX(products!$A$1:$G$49, MATCH(orders!$D444, products!$A$1:$A$49, 0), MATCH(orders!J$1, products!$A$1:$G$1, 0))</f>
        <v>L</v>
      </c>
      <c r="K444" s="5">
        <f>INDEX(products!$A$1:$G$49, MATCH(orders!$D444, products!$A$1:$A$49, 0), MATCH(orders!K$1, products!$A$1:$G$1, 0))</f>
        <v>0.5</v>
      </c>
      <c r="L444" s="6">
        <f>INDEX(products!$A$1:$G$49, MATCH(orders!$D444, products!$A$1:$A$49, 0), MATCH(orders!L$1, products!$A$1:$G$1, 0))</f>
        <v>7.169999999999999</v>
      </c>
      <c r="M444" s="6">
        <f t="shared" si="19"/>
        <v>35.849999999999994</v>
      </c>
      <c r="N444" t="str">
        <f t="shared" si="20"/>
        <v>Robusta</v>
      </c>
      <c r="O444" t="str">
        <f t="shared" si="18"/>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_xlfn.XLOOKUP(C445,customers!$A$2:$A$1001,customers!$B$2:$B$1001,,0)</f>
        <v>Theo Bowne</v>
      </c>
      <c r="G445" s="2" t="str">
        <f>IF(_xlfn.XLOOKUP(C445,customers!$A$1:$A$1001,customers!$C$1:$C$1001,,0)=0,"",_xlfn.XLOOKUP(C445,customers!$A$1:$A$1001,customers!$C$1:$C$1001,,0))</f>
        <v>tbownecb@unicef.org</v>
      </c>
      <c r="H445" s="2" t="str">
        <f>_xlfn.XLOOKUP(C445,customers!$A$1:$A$1001,customers!$G$1:$G$1001,,0)</f>
        <v>Ireland</v>
      </c>
      <c r="I445" t="str">
        <f>INDEX(products!$A$1:$G$49, MATCH(orders!$D445, products!$A$1:$A$49, 0), MATCH(orders!I$1, products!$A$1:$G$1, 0))</f>
        <v>Exc</v>
      </c>
      <c r="J445" t="str">
        <f>INDEX(products!$A$1:$G$49, MATCH(orders!$D445, products!$A$1:$A$49, 0), MATCH(orders!J$1, products!$A$1:$G$1, 0))</f>
        <v>L</v>
      </c>
      <c r="K445" s="5">
        <f>INDEX(products!$A$1:$G$49, MATCH(orders!$D445, products!$A$1:$A$49, 0), MATCH(orders!K$1, products!$A$1:$G$1, 0))</f>
        <v>0.2</v>
      </c>
      <c r="L445" s="6">
        <f>INDEX(products!$A$1:$G$49, MATCH(orders!$D445, products!$A$1:$A$49, 0), MATCH(orders!L$1, products!$A$1:$G$1, 0))</f>
        <v>4.4550000000000001</v>
      </c>
      <c r="M445" s="6">
        <f t="shared" si="19"/>
        <v>22.274999999999999</v>
      </c>
      <c r="N445" t="str">
        <f t="shared" si="20"/>
        <v>Excelsa</v>
      </c>
      <c r="O445" t="str">
        <f t="shared" si="18"/>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_xlfn.XLOOKUP(C446,customers!$A$2:$A$1001,customers!$B$2:$B$1001,,0)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 MATCH(orders!$D446, products!$A$1:$A$49, 0), MATCH(orders!I$1, products!$A$1:$G$1, 0))</f>
        <v>Exc</v>
      </c>
      <c r="J446" t="str">
        <f>INDEX(products!$A$1:$G$49, MATCH(orders!$D446, products!$A$1:$A$49, 0), MATCH(orders!J$1, products!$A$1:$G$1, 0))</f>
        <v>M</v>
      </c>
      <c r="K446" s="5">
        <f>INDEX(products!$A$1:$G$49, MATCH(orders!$D446, products!$A$1:$A$49, 0), MATCH(orders!K$1, products!$A$1:$G$1, 0))</f>
        <v>0.2</v>
      </c>
      <c r="L446" s="6">
        <f>INDEX(products!$A$1:$G$49, MATCH(orders!$D446, products!$A$1:$A$49, 0), MATCH(orders!L$1, products!$A$1:$G$1, 0))</f>
        <v>4.125</v>
      </c>
      <c r="M446" s="6">
        <f t="shared" si="19"/>
        <v>24.75</v>
      </c>
      <c r="N446" t="str">
        <f t="shared" si="20"/>
        <v>Excelsa</v>
      </c>
      <c r="O446" t="str">
        <f t="shared" si="18"/>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_xlfn.XLOOKUP(C447,customers!$A$2:$A$1001,customers!$B$2:$B$1001,,0)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 MATCH(orders!$D447, products!$A$1:$A$49, 0), MATCH(orders!I$1, products!$A$1:$G$1, 0))</f>
        <v>Lib</v>
      </c>
      <c r="J447" t="str">
        <f>INDEX(products!$A$1:$G$49, MATCH(orders!$D447, products!$A$1:$A$49, 0), MATCH(orders!J$1, products!$A$1:$G$1, 0))</f>
        <v>M</v>
      </c>
      <c r="K447" s="5">
        <f>INDEX(products!$A$1:$G$49, MATCH(orders!$D447, products!$A$1:$A$49, 0), MATCH(orders!K$1, products!$A$1:$G$1, 0))</f>
        <v>2.5</v>
      </c>
      <c r="L447" s="6">
        <f>INDEX(products!$A$1:$G$49, MATCH(orders!$D447, products!$A$1:$A$49, 0), MATCH(orders!L$1, products!$A$1:$G$1, 0))</f>
        <v>33.464999999999996</v>
      </c>
      <c r="M447" s="6">
        <f t="shared" si="19"/>
        <v>66.929999999999993</v>
      </c>
      <c r="N447" t="str">
        <f t="shared" si="20"/>
        <v>Liberica</v>
      </c>
      <c r="O447" t="str">
        <f t="shared" si="18"/>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_xlfn.XLOOKUP(C448,customers!$A$2:$A$1001,customers!$B$2:$B$1001,,0)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 MATCH(orders!$D448, products!$A$1:$A$49, 0), MATCH(orders!I$1, products!$A$1:$G$1, 0))</f>
        <v>Lib</v>
      </c>
      <c r="J448" t="str">
        <f>INDEX(products!$A$1:$G$49, MATCH(orders!$D448, products!$A$1:$A$49, 0), MATCH(orders!J$1, products!$A$1:$G$1, 0))</f>
        <v>M</v>
      </c>
      <c r="K448" s="5">
        <f>INDEX(products!$A$1:$G$49, MATCH(orders!$D448, products!$A$1:$A$49, 0), MATCH(orders!K$1, products!$A$1:$G$1, 0))</f>
        <v>0.5</v>
      </c>
      <c r="L448" s="6">
        <f>INDEX(products!$A$1:$G$49, MATCH(orders!$D448, products!$A$1:$A$49, 0), MATCH(orders!L$1, products!$A$1:$G$1, 0))</f>
        <v>8.73</v>
      </c>
      <c r="M448" s="6">
        <f t="shared" si="19"/>
        <v>8.73</v>
      </c>
      <c r="N448" t="str">
        <f t="shared" si="20"/>
        <v>Liberica</v>
      </c>
      <c r="O448" t="str">
        <f t="shared" si="18"/>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_xlfn.XLOOKUP(C449,customers!$A$2:$A$1001,customers!$B$2:$B$1001,,0)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 MATCH(orders!$D449, products!$A$1:$A$49, 0), MATCH(orders!I$1, products!$A$1:$G$1, 0))</f>
        <v>Rob</v>
      </c>
      <c r="J449" t="str">
        <f>INDEX(products!$A$1:$G$49, MATCH(orders!$D449, products!$A$1:$A$49, 0), MATCH(orders!J$1, products!$A$1:$G$1, 0))</f>
        <v>M</v>
      </c>
      <c r="K449" s="5">
        <f>INDEX(products!$A$1:$G$49, MATCH(orders!$D449, products!$A$1:$A$49, 0), MATCH(orders!K$1, products!$A$1:$G$1, 0))</f>
        <v>0.5</v>
      </c>
      <c r="L449" s="6">
        <f>INDEX(products!$A$1:$G$49, MATCH(orders!$D449, products!$A$1:$A$49, 0), MATCH(orders!L$1, products!$A$1:$G$1, 0))</f>
        <v>5.97</v>
      </c>
      <c r="M449" s="6">
        <f t="shared" si="19"/>
        <v>17.91</v>
      </c>
      <c r="N449" t="str">
        <f t="shared" si="20"/>
        <v>Robusta</v>
      </c>
      <c r="O449" t="str">
        <f t="shared" si="18"/>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_xlfn.XLOOKUP(C450,customers!$A$2:$A$1001,customers!$B$2:$B$1001,,0)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 MATCH(orders!$D450, products!$A$1:$A$49, 0), MATCH(orders!I$1, products!$A$1:$G$1, 0))</f>
        <v>Rob</v>
      </c>
      <c r="J450" t="str">
        <f>INDEX(products!$A$1:$G$49, MATCH(orders!$D450, products!$A$1:$A$49, 0), MATCH(orders!J$1, products!$A$1:$G$1, 0))</f>
        <v>L</v>
      </c>
      <c r="K450" s="5">
        <f>INDEX(products!$A$1:$G$49, MATCH(orders!$D450, products!$A$1:$A$49, 0), MATCH(orders!K$1, products!$A$1:$G$1, 0))</f>
        <v>0.5</v>
      </c>
      <c r="L450" s="6">
        <f>INDEX(products!$A$1:$G$49, MATCH(orders!$D450, products!$A$1:$A$49, 0), MATCH(orders!L$1, products!$A$1:$G$1, 0))</f>
        <v>7.169999999999999</v>
      </c>
      <c r="M450" s="6">
        <f t="shared" si="19"/>
        <v>7.169999999999999</v>
      </c>
      <c r="N450" t="str">
        <f t="shared" si="20"/>
        <v>Robusta</v>
      </c>
      <c r="O450" t="str">
        <f t="shared" ref="O450:O513" si="21">IF(J450="M","Medium",IF(J450="l","Light",IF(J450="d","Dark","")))</f>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_xlfn.XLOOKUP(C451,customers!$A$2:$A$1001,customers!$B$2:$B$1001,,0)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 MATCH(orders!$D451, products!$A$1:$A$49, 0), MATCH(orders!I$1, products!$A$1:$G$1, 0))</f>
        <v>Rob</v>
      </c>
      <c r="J451" t="str">
        <f>INDEX(products!$A$1:$G$49, MATCH(orders!$D451, products!$A$1:$A$49, 0), MATCH(orders!J$1, products!$A$1:$G$1, 0))</f>
        <v>D</v>
      </c>
      <c r="K451" s="5">
        <f>INDEX(products!$A$1:$G$49, MATCH(orders!$D451, products!$A$1:$A$49, 0), MATCH(orders!K$1, products!$A$1:$G$1, 0))</f>
        <v>0.2</v>
      </c>
      <c r="L451" s="6">
        <f>INDEX(products!$A$1:$G$49, MATCH(orders!$D451, products!$A$1:$A$49, 0), MATCH(orders!L$1, products!$A$1:$G$1, 0))</f>
        <v>2.6849999999999996</v>
      </c>
      <c r="M451" s="6">
        <f t="shared" ref="M451:M514" si="22">L451*E451</f>
        <v>5.3699999999999992</v>
      </c>
      <c r="N451" t="str">
        <f t="shared" ref="N451:N514" si="23">IF(I451="Rob","Robusta",IF(I451="Exc","Excelsa",IF(I451="Ara","Arabica",IF(I451="lib","Liberica",""))))</f>
        <v>Robusta</v>
      </c>
      <c r="O451" t="str">
        <f t="shared" si="21"/>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_xlfn.XLOOKUP(C452,customers!$A$2:$A$1001,customers!$B$2:$B$1001,,0)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 MATCH(orders!$D452, products!$A$1:$A$49, 0), MATCH(orders!I$1, products!$A$1:$G$1, 0))</f>
        <v>Lib</v>
      </c>
      <c r="J452" t="str">
        <f>INDEX(products!$A$1:$G$49, MATCH(orders!$D452, products!$A$1:$A$49, 0), MATCH(orders!J$1, products!$A$1:$G$1, 0))</f>
        <v>L</v>
      </c>
      <c r="K452" s="5">
        <f>INDEX(products!$A$1:$G$49, MATCH(orders!$D452, products!$A$1:$A$49, 0), MATCH(orders!K$1, products!$A$1:$G$1, 0))</f>
        <v>0.2</v>
      </c>
      <c r="L452" s="6">
        <f>INDEX(products!$A$1:$G$49, MATCH(orders!$D452, products!$A$1:$A$49, 0), MATCH(orders!L$1, products!$A$1:$G$1, 0))</f>
        <v>4.7549999999999999</v>
      </c>
      <c r="M452" s="6">
        <f t="shared" si="22"/>
        <v>23.774999999999999</v>
      </c>
      <c r="N452" t="str">
        <f t="shared" si="23"/>
        <v>Liberica</v>
      </c>
      <c r="O452" t="str">
        <f t="shared" si="21"/>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_xlfn.XLOOKUP(C453,customers!$A$2:$A$1001,customers!$B$2:$B$1001,,0)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 MATCH(orders!$D453, products!$A$1:$A$49, 0), MATCH(orders!I$1, products!$A$1:$G$1, 0))</f>
        <v>Rob</v>
      </c>
      <c r="J453" t="str">
        <f>INDEX(products!$A$1:$G$49, MATCH(orders!$D453, products!$A$1:$A$49, 0), MATCH(orders!J$1, products!$A$1:$G$1, 0))</f>
        <v>D</v>
      </c>
      <c r="K453" s="5">
        <f>INDEX(products!$A$1:$G$49, MATCH(orders!$D453, products!$A$1:$A$49, 0), MATCH(orders!K$1, products!$A$1:$G$1, 0))</f>
        <v>2.5</v>
      </c>
      <c r="L453" s="6">
        <f>INDEX(products!$A$1:$G$49, MATCH(orders!$D453, products!$A$1:$A$49, 0), MATCH(orders!L$1, products!$A$1:$G$1, 0))</f>
        <v>20.584999999999997</v>
      </c>
      <c r="M453" s="6">
        <f t="shared" si="22"/>
        <v>41.169999999999995</v>
      </c>
      <c r="N453" t="str">
        <f t="shared" si="23"/>
        <v>Robusta</v>
      </c>
      <c r="O453" t="str">
        <f t="shared" si="21"/>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_xlfn.XLOOKUP(C454,customers!$A$2:$A$1001,customers!$B$2:$B$1001,,0)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 MATCH(orders!$D454, products!$A$1:$A$49, 0), MATCH(orders!I$1, products!$A$1:$G$1, 0))</f>
        <v>Ara</v>
      </c>
      <c r="J454" t="str">
        <f>INDEX(products!$A$1:$G$49, MATCH(orders!$D454, products!$A$1:$A$49, 0), MATCH(orders!J$1, products!$A$1:$G$1, 0))</f>
        <v>L</v>
      </c>
      <c r="K454" s="5">
        <f>INDEX(products!$A$1:$G$49, MATCH(orders!$D454, products!$A$1:$A$49, 0), MATCH(orders!K$1, products!$A$1:$G$1, 0))</f>
        <v>0.2</v>
      </c>
      <c r="L454" s="6">
        <f>INDEX(products!$A$1:$G$49, MATCH(orders!$D454, products!$A$1:$A$49, 0), MATCH(orders!L$1, products!$A$1:$G$1, 0))</f>
        <v>3.8849999999999998</v>
      </c>
      <c r="M454" s="6">
        <f t="shared" si="22"/>
        <v>11.654999999999999</v>
      </c>
      <c r="N454" t="str">
        <f t="shared" si="23"/>
        <v>Arabica</v>
      </c>
      <c r="O454" t="str">
        <f t="shared" si="21"/>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_xlfn.XLOOKUP(C455,customers!$A$2:$A$1001,customers!$B$2:$B$1001,,0)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 MATCH(orders!$D455, products!$A$1:$A$49, 0), MATCH(orders!I$1, products!$A$1:$G$1, 0))</f>
        <v>Lib</v>
      </c>
      <c r="J455" t="str">
        <f>INDEX(products!$A$1:$G$49, MATCH(orders!$D455, products!$A$1:$A$49, 0), MATCH(orders!J$1, products!$A$1:$G$1, 0))</f>
        <v>L</v>
      </c>
      <c r="K455" s="5">
        <f>INDEX(products!$A$1:$G$49, MATCH(orders!$D455, products!$A$1:$A$49, 0), MATCH(orders!K$1, products!$A$1:$G$1, 0))</f>
        <v>0.5</v>
      </c>
      <c r="L455" s="6">
        <f>INDEX(products!$A$1:$G$49, MATCH(orders!$D455, products!$A$1:$A$49, 0), MATCH(orders!L$1, products!$A$1:$G$1, 0))</f>
        <v>9.51</v>
      </c>
      <c r="M455" s="6">
        <f t="shared" si="22"/>
        <v>38.04</v>
      </c>
      <c r="N455" t="str">
        <f t="shared" si="23"/>
        <v>Liberica</v>
      </c>
      <c r="O455" t="str">
        <f t="shared" si="21"/>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_xlfn.XLOOKUP(C456,customers!$A$2:$A$1001,customers!$B$2:$B$1001,,0)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 MATCH(orders!$D456, products!$A$1:$A$49, 0), MATCH(orders!I$1, products!$A$1:$G$1, 0))</f>
        <v>Rob</v>
      </c>
      <c r="J456" t="str">
        <f>INDEX(products!$A$1:$G$49, MATCH(orders!$D456, products!$A$1:$A$49, 0), MATCH(orders!J$1, products!$A$1:$G$1, 0))</f>
        <v>D</v>
      </c>
      <c r="K456" s="5">
        <f>INDEX(products!$A$1:$G$49, MATCH(orders!$D456, products!$A$1:$A$49, 0), MATCH(orders!K$1, products!$A$1:$G$1, 0))</f>
        <v>2.5</v>
      </c>
      <c r="L456" s="6">
        <f>INDEX(products!$A$1:$G$49, MATCH(orders!$D456, products!$A$1:$A$49, 0), MATCH(orders!L$1, products!$A$1:$G$1, 0))</f>
        <v>20.584999999999997</v>
      </c>
      <c r="M456" s="6">
        <f t="shared" si="22"/>
        <v>82.339999999999989</v>
      </c>
      <c r="N456" t="str">
        <f t="shared" si="23"/>
        <v>Robusta</v>
      </c>
      <c r="O456" t="str">
        <f t="shared" si="21"/>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_xlfn.XLOOKUP(C457,customers!$A$2:$A$1001,customers!$B$2:$B$1001,,0)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 MATCH(orders!$D457, products!$A$1:$A$49, 0), MATCH(orders!I$1, products!$A$1:$G$1, 0))</f>
        <v>Lib</v>
      </c>
      <c r="J457" t="str">
        <f>INDEX(products!$A$1:$G$49, MATCH(orders!$D457, products!$A$1:$A$49, 0), MATCH(orders!J$1, products!$A$1:$G$1, 0))</f>
        <v>L</v>
      </c>
      <c r="K457" s="5">
        <f>INDEX(products!$A$1:$G$49, MATCH(orders!$D457, products!$A$1:$A$49, 0), MATCH(orders!K$1, products!$A$1:$G$1, 0))</f>
        <v>0.2</v>
      </c>
      <c r="L457" s="6">
        <f>INDEX(products!$A$1:$G$49, MATCH(orders!$D457, products!$A$1:$A$49, 0), MATCH(orders!L$1, products!$A$1:$G$1, 0))</f>
        <v>4.7549999999999999</v>
      </c>
      <c r="M457" s="6">
        <f t="shared" si="22"/>
        <v>9.51</v>
      </c>
      <c r="N457" t="str">
        <f t="shared" si="23"/>
        <v>Liberica</v>
      </c>
      <c r="O457" t="str">
        <f t="shared" si="21"/>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_xlfn.XLOOKUP(C458,customers!$A$2:$A$1001,customers!$B$2:$B$1001,,0)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 MATCH(orders!$D458, products!$A$1:$A$49, 0), MATCH(orders!I$1, products!$A$1:$G$1, 0))</f>
        <v>Rob</v>
      </c>
      <c r="J458" t="str">
        <f>INDEX(products!$A$1:$G$49, MATCH(orders!$D458, products!$A$1:$A$49, 0), MATCH(orders!J$1, products!$A$1:$G$1, 0))</f>
        <v>D</v>
      </c>
      <c r="K458" s="5">
        <f>INDEX(products!$A$1:$G$49, MATCH(orders!$D458, products!$A$1:$A$49, 0), MATCH(orders!K$1, products!$A$1:$G$1, 0))</f>
        <v>2.5</v>
      </c>
      <c r="L458" s="6">
        <f>INDEX(products!$A$1:$G$49, MATCH(orders!$D458, products!$A$1:$A$49, 0), MATCH(orders!L$1, products!$A$1:$G$1, 0))</f>
        <v>20.584999999999997</v>
      </c>
      <c r="M458" s="6">
        <f t="shared" si="22"/>
        <v>41.169999999999995</v>
      </c>
      <c r="N458" t="str">
        <f t="shared" si="23"/>
        <v>Robusta</v>
      </c>
      <c r="O458" t="str">
        <f t="shared" si="21"/>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_xlfn.XLOOKUP(C459,customers!$A$2:$A$1001,customers!$B$2:$B$1001,,0)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 MATCH(orders!$D459, products!$A$1:$A$49, 0), MATCH(orders!I$1, products!$A$1:$G$1, 0))</f>
        <v>Lib</v>
      </c>
      <c r="J459" t="str">
        <f>INDEX(products!$A$1:$G$49, MATCH(orders!$D459, products!$A$1:$A$49, 0), MATCH(orders!J$1, products!$A$1:$G$1, 0))</f>
        <v>L</v>
      </c>
      <c r="K459" s="5">
        <f>INDEX(products!$A$1:$G$49, MATCH(orders!$D459, products!$A$1:$A$49, 0), MATCH(orders!K$1, products!$A$1:$G$1, 0))</f>
        <v>0.5</v>
      </c>
      <c r="L459" s="6">
        <f>INDEX(products!$A$1:$G$49, MATCH(orders!$D459, products!$A$1:$A$49, 0), MATCH(orders!L$1, products!$A$1:$G$1, 0))</f>
        <v>9.51</v>
      </c>
      <c r="M459" s="6">
        <f t="shared" si="22"/>
        <v>47.55</v>
      </c>
      <c r="N459" t="str">
        <f t="shared" si="23"/>
        <v>Liberica</v>
      </c>
      <c r="O459" t="str">
        <f t="shared" si="21"/>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_xlfn.XLOOKUP(C460,customers!$A$2:$A$1001,customers!$B$2:$B$1001,,0)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 MATCH(orders!$D460, products!$A$1:$A$49, 0), MATCH(orders!I$1, products!$A$1:$G$1, 0))</f>
        <v>Ara</v>
      </c>
      <c r="J460" t="str">
        <f>INDEX(products!$A$1:$G$49, MATCH(orders!$D460, products!$A$1:$A$49, 0), MATCH(orders!J$1, products!$A$1:$G$1, 0))</f>
        <v>M</v>
      </c>
      <c r="K460" s="5">
        <f>INDEX(products!$A$1:$G$49, MATCH(orders!$D460, products!$A$1:$A$49, 0), MATCH(orders!K$1, products!$A$1:$G$1, 0))</f>
        <v>1</v>
      </c>
      <c r="L460" s="6">
        <f>INDEX(products!$A$1:$G$49, MATCH(orders!$D460, products!$A$1:$A$49, 0), MATCH(orders!L$1, products!$A$1:$G$1, 0))</f>
        <v>11.25</v>
      </c>
      <c r="M460" s="6">
        <f t="shared" si="22"/>
        <v>45</v>
      </c>
      <c r="N460" t="str">
        <f t="shared" si="23"/>
        <v>Arabica</v>
      </c>
      <c r="O460" t="str">
        <f t="shared" si="21"/>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_xlfn.XLOOKUP(C461,customers!$A$2:$A$1001,customers!$B$2:$B$1001,,0)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 MATCH(orders!$D461, products!$A$1:$A$49, 0), MATCH(orders!I$1, products!$A$1:$G$1, 0))</f>
        <v>Lib</v>
      </c>
      <c r="J461" t="str">
        <f>INDEX(products!$A$1:$G$49, MATCH(orders!$D461, products!$A$1:$A$49, 0), MATCH(orders!J$1, products!$A$1:$G$1, 0))</f>
        <v>L</v>
      </c>
      <c r="K461" s="5">
        <f>INDEX(products!$A$1:$G$49, MATCH(orders!$D461, products!$A$1:$A$49, 0), MATCH(orders!K$1, products!$A$1:$G$1, 0))</f>
        <v>0.2</v>
      </c>
      <c r="L461" s="6">
        <f>INDEX(products!$A$1:$G$49, MATCH(orders!$D461, products!$A$1:$A$49, 0), MATCH(orders!L$1, products!$A$1:$G$1, 0))</f>
        <v>4.7549999999999999</v>
      </c>
      <c r="M461" s="6">
        <f t="shared" si="22"/>
        <v>23.774999999999999</v>
      </c>
      <c r="N461" t="str">
        <f t="shared" si="23"/>
        <v>Liberica</v>
      </c>
      <c r="O461" t="str">
        <f t="shared" si="21"/>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_xlfn.XLOOKUP(C462,customers!$A$2:$A$1001,customers!$B$2:$B$1001,,0)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 MATCH(orders!$D462, products!$A$1:$A$49, 0), MATCH(orders!I$1, products!$A$1:$G$1, 0))</f>
        <v>Rob</v>
      </c>
      <c r="J462" t="str">
        <f>INDEX(products!$A$1:$G$49, MATCH(orders!$D462, products!$A$1:$A$49, 0), MATCH(orders!J$1, products!$A$1:$G$1, 0))</f>
        <v>D</v>
      </c>
      <c r="K462" s="5">
        <f>INDEX(products!$A$1:$G$49, MATCH(orders!$D462, products!$A$1:$A$49, 0), MATCH(orders!K$1, products!$A$1:$G$1, 0))</f>
        <v>0.5</v>
      </c>
      <c r="L462" s="6">
        <f>INDEX(products!$A$1:$G$49, MATCH(orders!$D462, products!$A$1:$A$49, 0), MATCH(orders!L$1, products!$A$1:$G$1, 0))</f>
        <v>5.3699999999999992</v>
      </c>
      <c r="M462" s="6">
        <f t="shared" si="22"/>
        <v>16.11</v>
      </c>
      <c r="N462" t="str">
        <f t="shared" si="23"/>
        <v>Robusta</v>
      </c>
      <c r="O462" t="str">
        <f t="shared" si="21"/>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_xlfn.XLOOKUP(C463,customers!$A$2:$A$1001,customers!$B$2:$B$1001,,0)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 MATCH(orders!$D463, products!$A$1:$A$49, 0), MATCH(orders!I$1, products!$A$1:$G$1, 0))</f>
        <v>Rob</v>
      </c>
      <c r="J463" t="str">
        <f>INDEX(products!$A$1:$G$49, MATCH(orders!$D463, products!$A$1:$A$49, 0), MATCH(orders!J$1, products!$A$1:$G$1, 0))</f>
        <v>D</v>
      </c>
      <c r="K463" s="5">
        <f>INDEX(products!$A$1:$G$49, MATCH(orders!$D463, products!$A$1:$A$49, 0), MATCH(orders!K$1, products!$A$1:$G$1, 0))</f>
        <v>0.2</v>
      </c>
      <c r="L463" s="6">
        <f>INDEX(products!$A$1:$G$49, MATCH(orders!$D463, products!$A$1:$A$49, 0), MATCH(orders!L$1, products!$A$1:$G$1, 0))</f>
        <v>2.6849999999999996</v>
      </c>
      <c r="M463" s="6">
        <f t="shared" si="22"/>
        <v>10.739999999999998</v>
      </c>
      <c r="N463" t="str">
        <f t="shared" si="23"/>
        <v>Robusta</v>
      </c>
      <c r="O463" t="str">
        <f t="shared" si="21"/>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_xlfn.XLOOKUP(C464,customers!$A$2:$A$1001,customers!$B$2:$B$1001,,0)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 MATCH(orders!$D464, products!$A$1:$A$49, 0), MATCH(orders!I$1, products!$A$1:$G$1, 0))</f>
        <v>Ara</v>
      </c>
      <c r="J464" t="str">
        <f>INDEX(products!$A$1:$G$49, MATCH(orders!$D464, products!$A$1:$A$49, 0), MATCH(orders!J$1, products!$A$1:$G$1, 0))</f>
        <v>D</v>
      </c>
      <c r="K464" s="5">
        <f>INDEX(products!$A$1:$G$49, MATCH(orders!$D464, products!$A$1:$A$49, 0), MATCH(orders!K$1, products!$A$1:$G$1, 0))</f>
        <v>1</v>
      </c>
      <c r="L464" s="6">
        <f>INDEX(products!$A$1:$G$49, MATCH(orders!$D464, products!$A$1:$A$49, 0), MATCH(orders!L$1, products!$A$1:$G$1, 0))</f>
        <v>9.9499999999999993</v>
      </c>
      <c r="M464" s="6">
        <f t="shared" si="22"/>
        <v>49.75</v>
      </c>
      <c r="N464" t="str">
        <f t="shared" si="23"/>
        <v>Arabica</v>
      </c>
      <c r="O464" t="str">
        <f t="shared" si="21"/>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_xlfn.XLOOKUP(C465,customers!$A$2:$A$1001,customers!$B$2:$B$1001,,0)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 MATCH(orders!$D465, products!$A$1:$A$49, 0), MATCH(orders!I$1, products!$A$1:$G$1, 0))</f>
        <v>Exc</v>
      </c>
      <c r="J465" t="str">
        <f>INDEX(products!$A$1:$G$49, MATCH(orders!$D465, products!$A$1:$A$49, 0), MATCH(orders!J$1, products!$A$1:$G$1, 0))</f>
        <v>M</v>
      </c>
      <c r="K465" s="5">
        <f>INDEX(products!$A$1:$G$49, MATCH(orders!$D465, products!$A$1:$A$49, 0), MATCH(orders!K$1, products!$A$1:$G$1, 0))</f>
        <v>1</v>
      </c>
      <c r="L465" s="6">
        <f>INDEX(products!$A$1:$G$49, MATCH(orders!$D465, products!$A$1:$A$49, 0), MATCH(orders!L$1, products!$A$1:$G$1, 0))</f>
        <v>13.75</v>
      </c>
      <c r="M465" s="6">
        <f t="shared" si="22"/>
        <v>27.5</v>
      </c>
      <c r="N465" t="str">
        <f t="shared" si="23"/>
        <v>Excelsa</v>
      </c>
      <c r="O465" t="str">
        <f t="shared" si="21"/>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_xlfn.XLOOKUP(C466,customers!$A$2:$A$1001,customers!$B$2:$B$1001,,0)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 MATCH(orders!$D466, products!$A$1:$A$49, 0), MATCH(orders!I$1, products!$A$1:$G$1, 0))</f>
        <v>Lib</v>
      </c>
      <c r="J466" t="str">
        <f>INDEX(products!$A$1:$G$49, MATCH(orders!$D466, products!$A$1:$A$49, 0), MATCH(orders!J$1, products!$A$1:$G$1, 0))</f>
        <v>D</v>
      </c>
      <c r="K466" s="5">
        <f>INDEX(products!$A$1:$G$49, MATCH(orders!$D466, products!$A$1:$A$49, 0), MATCH(orders!K$1, products!$A$1:$G$1, 0))</f>
        <v>2.5</v>
      </c>
      <c r="L466" s="6">
        <f>INDEX(products!$A$1:$G$49, MATCH(orders!$D466, products!$A$1:$A$49, 0), MATCH(orders!L$1, products!$A$1:$G$1, 0))</f>
        <v>29.784999999999997</v>
      </c>
      <c r="M466" s="6">
        <f t="shared" si="22"/>
        <v>119.13999999999999</v>
      </c>
      <c r="N466" t="str">
        <f t="shared" si="23"/>
        <v>Liberica</v>
      </c>
      <c r="O466" t="str">
        <f t="shared" si="21"/>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_xlfn.XLOOKUP(C467,customers!$A$2:$A$1001,customers!$B$2:$B$1001,,0)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 MATCH(orders!$D467, products!$A$1:$A$49, 0), MATCH(orders!I$1, products!$A$1:$G$1, 0))</f>
        <v>Rob</v>
      </c>
      <c r="J467" t="str">
        <f>INDEX(products!$A$1:$G$49, MATCH(orders!$D467, products!$A$1:$A$49, 0), MATCH(orders!J$1, products!$A$1:$G$1, 0))</f>
        <v>D</v>
      </c>
      <c r="K467" s="5">
        <f>INDEX(products!$A$1:$G$49, MATCH(orders!$D467, products!$A$1:$A$49, 0), MATCH(orders!K$1, products!$A$1:$G$1, 0))</f>
        <v>2.5</v>
      </c>
      <c r="L467" s="6">
        <f>INDEX(products!$A$1:$G$49, MATCH(orders!$D467, products!$A$1:$A$49, 0), MATCH(orders!L$1, products!$A$1:$G$1, 0))</f>
        <v>20.584999999999997</v>
      </c>
      <c r="M467" s="6">
        <f t="shared" si="22"/>
        <v>20.584999999999997</v>
      </c>
      <c r="N467" t="str">
        <f t="shared" si="23"/>
        <v>Robusta</v>
      </c>
      <c r="O467" t="str">
        <f t="shared" si="21"/>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_xlfn.XLOOKUP(C468,customers!$A$2:$A$1001,customers!$B$2:$B$1001,,0)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 MATCH(orders!$D468, products!$A$1:$A$49, 0), MATCH(orders!I$1, products!$A$1:$G$1, 0))</f>
        <v>Ara</v>
      </c>
      <c r="J468" t="str">
        <f>INDEX(products!$A$1:$G$49, MATCH(orders!$D468, products!$A$1:$A$49, 0), MATCH(orders!J$1, products!$A$1:$G$1, 0))</f>
        <v>D</v>
      </c>
      <c r="K468" s="5">
        <f>INDEX(products!$A$1:$G$49, MATCH(orders!$D468, products!$A$1:$A$49, 0), MATCH(orders!K$1, products!$A$1:$G$1, 0))</f>
        <v>0.2</v>
      </c>
      <c r="L468" s="6">
        <f>INDEX(products!$A$1:$G$49, MATCH(orders!$D468, products!$A$1:$A$49, 0), MATCH(orders!L$1, products!$A$1:$G$1, 0))</f>
        <v>2.9849999999999999</v>
      </c>
      <c r="M468" s="6">
        <f t="shared" si="22"/>
        <v>8.9550000000000001</v>
      </c>
      <c r="N468" t="str">
        <f t="shared" si="23"/>
        <v>Arabica</v>
      </c>
      <c r="O468" t="str">
        <f t="shared" si="21"/>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_xlfn.XLOOKUP(C469,customers!$A$2:$A$1001,customers!$B$2:$B$1001,,0)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 MATCH(orders!$D469, products!$A$1:$A$49, 0), MATCH(orders!I$1, products!$A$1:$G$1, 0))</f>
        <v>Ara</v>
      </c>
      <c r="J469" t="str">
        <f>INDEX(products!$A$1:$G$49, MATCH(orders!$D469, products!$A$1:$A$49, 0), MATCH(orders!J$1, products!$A$1:$G$1, 0))</f>
        <v>D</v>
      </c>
      <c r="K469" s="5">
        <f>INDEX(products!$A$1:$G$49, MATCH(orders!$D469, products!$A$1:$A$49, 0), MATCH(orders!K$1, products!$A$1:$G$1, 0))</f>
        <v>0.5</v>
      </c>
      <c r="L469" s="6">
        <f>INDEX(products!$A$1:$G$49, MATCH(orders!$D469, products!$A$1:$A$49, 0), MATCH(orders!L$1, products!$A$1:$G$1, 0))</f>
        <v>5.97</v>
      </c>
      <c r="M469" s="6">
        <f t="shared" si="22"/>
        <v>5.97</v>
      </c>
      <c r="N469" t="str">
        <f t="shared" si="23"/>
        <v>Arabica</v>
      </c>
      <c r="O469" t="str">
        <f t="shared" si="21"/>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_xlfn.XLOOKUP(C470,customers!$A$2:$A$1001,customers!$B$2:$B$1001,,0)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 MATCH(orders!$D470, products!$A$1:$A$49, 0), MATCH(orders!I$1, products!$A$1:$G$1, 0))</f>
        <v>Exc</v>
      </c>
      <c r="J470" t="str">
        <f>INDEX(products!$A$1:$G$49, MATCH(orders!$D470, products!$A$1:$A$49, 0), MATCH(orders!J$1, products!$A$1:$G$1, 0))</f>
        <v>M</v>
      </c>
      <c r="K470" s="5">
        <f>INDEX(products!$A$1:$G$49, MATCH(orders!$D470, products!$A$1:$A$49, 0), MATCH(orders!K$1, products!$A$1:$G$1, 0))</f>
        <v>1</v>
      </c>
      <c r="L470" s="6">
        <f>INDEX(products!$A$1:$G$49, MATCH(orders!$D470, products!$A$1:$A$49, 0), MATCH(orders!L$1, products!$A$1:$G$1, 0))</f>
        <v>13.75</v>
      </c>
      <c r="M470" s="6">
        <f t="shared" si="22"/>
        <v>41.25</v>
      </c>
      <c r="N470" t="str">
        <f t="shared" si="23"/>
        <v>Excelsa</v>
      </c>
      <c r="O470" t="str">
        <f t="shared" si="21"/>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_xlfn.XLOOKUP(C471,customers!$A$2:$A$1001,customers!$B$2:$B$1001,,0)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 MATCH(orders!$D471, products!$A$1:$A$49, 0), MATCH(orders!I$1, products!$A$1:$G$1, 0))</f>
        <v>Exc</v>
      </c>
      <c r="J471" t="str">
        <f>INDEX(products!$A$1:$G$49, MATCH(orders!$D471, products!$A$1:$A$49, 0), MATCH(orders!J$1, products!$A$1:$G$1, 0))</f>
        <v>L</v>
      </c>
      <c r="K471" s="5">
        <f>INDEX(products!$A$1:$G$49, MATCH(orders!$D471, products!$A$1:$A$49, 0), MATCH(orders!K$1, products!$A$1:$G$1, 0))</f>
        <v>0.2</v>
      </c>
      <c r="L471" s="6">
        <f>INDEX(products!$A$1:$G$49, MATCH(orders!$D471, products!$A$1:$A$49, 0), MATCH(orders!L$1, products!$A$1:$G$1, 0))</f>
        <v>4.4550000000000001</v>
      </c>
      <c r="M471" s="6">
        <f t="shared" si="22"/>
        <v>22.274999999999999</v>
      </c>
      <c r="N471" t="str">
        <f t="shared" si="23"/>
        <v>Excelsa</v>
      </c>
      <c r="O471" t="str">
        <f t="shared" si="21"/>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_xlfn.XLOOKUP(C472,customers!$A$2:$A$1001,customers!$B$2:$B$1001,,0)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 MATCH(orders!$D472, products!$A$1:$A$49, 0), MATCH(orders!I$1, products!$A$1:$G$1, 0))</f>
        <v>Ara</v>
      </c>
      <c r="J472" t="str">
        <f>INDEX(products!$A$1:$G$49, MATCH(orders!$D472, products!$A$1:$A$49, 0), MATCH(orders!J$1, products!$A$1:$G$1, 0))</f>
        <v>M</v>
      </c>
      <c r="K472" s="5">
        <f>INDEX(products!$A$1:$G$49, MATCH(orders!$D472, products!$A$1:$A$49, 0), MATCH(orders!K$1, products!$A$1:$G$1, 0))</f>
        <v>0.5</v>
      </c>
      <c r="L472" s="6">
        <f>INDEX(products!$A$1:$G$49, MATCH(orders!$D472, products!$A$1:$A$49, 0), MATCH(orders!L$1, products!$A$1:$G$1, 0))</f>
        <v>6.75</v>
      </c>
      <c r="M472" s="6">
        <f t="shared" si="22"/>
        <v>6.75</v>
      </c>
      <c r="N472" t="str">
        <f t="shared" si="23"/>
        <v>Arabica</v>
      </c>
      <c r="O472" t="str">
        <f t="shared" si="21"/>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_xlfn.XLOOKUP(C473,customers!$A$2:$A$1001,customers!$B$2:$B$1001,,0)</f>
        <v>Lamond Gheeraert</v>
      </c>
      <c r="G473" s="2" t="str">
        <f>IF(_xlfn.XLOOKUP(C473,customers!$A$1:$A$1001,customers!$C$1:$C$1001,,0)=0,"",_xlfn.XLOOKUP(C473,customers!$A$1:$A$1001,customers!$C$1:$C$1001,,0))</f>
        <v/>
      </c>
      <c r="H473" s="2" t="str">
        <f>_xlfn.XLOOKUP(C473,customers!$A$1:$A$1001,customers!$G$1:$G$1001,,0)</f>
        <v>United States</v>
      </c>
      <c r="I473" t="str">
        <f>INDEX(products!$A$1:$G$49, MATCH(orders!$D473, products!$A$1:$A$49, 0), MATCH(orders!I$1, products!$A$1:$G$1, 0))</f>
        <v>Lib</v>
      </c>
      <c r="J473" t="str">
        <f>INDEX(products!$A$1:$G$49, MATCH(orders!$D473, products!$A$1:$A$49, 0), MATCH(orders!J$1, products!$A$1:$G$1, 0))</f>
        <v>M</v>
      </c>
      <c r="K473" s="5">
        <f>INDEX(products!$A$1:$G$49, MATCH(orders!$D473, products!$A$1:$A$49, 0), MATCH(orders!K$1, products!$A$1:$G$1, 0))</f>
        <v>2.5</v>
      </c>
      <c r="L473" s="6">
        <f>INDEX(products!$A$1:$G$49, MATCH(orders!$D473, products!$A$1:$A$49, 0), MATCH(orders!L$1, products!$A$1:$G$1, 0))</f>
        <v>33.464999999999996</v>
      </c>
      <c r="M473" s="6">
        <f t="shared" si="22"/>
        <v>133.85999999999999</v>
      </c>
      <c r="N473" t="str">
        <f t="shared" si="23"/>
        <v>Liberica</v>
      </c>
      <c r="O473" t="str">
        <f t="shared" si="21"/>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_xlfn.XLOOKUP(C474,customers!$A$2:$A$1001,customers!$B$2:$B$1001,,0)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 MATCH(orders!$D474, products!$A$1:$A$49, 0), MATCH(orders!I$1, products!$A$1:$G$1, 0))</f>
        <v>Ara</v>
      </c>
      <c r="J474" t="str">
        <f>INDEX(products!$A$1:$G$49, MATCH(orders!$D474, products!$A$1:$A$49, 0), MATCH(orders!J$1, products!$A$1:$G$1, 0))</f>
        <v>D</v>
      </c>
      <c r="K474" s="5">
        <f>INDEX(products!$A$1:$G$49, MATCH(orders!$D474, products!$A$1:$A$49, 0), MATCH(orders!K$1, products!$A$1:$G$1, 0))</f>
        <v>0.2</v>
      </c>
      <c r="L474" s="6">
        <f>INDEX(products!$A$1:$G$49, MATCH(orders!$D474, products!$A$1:$A$49, 0), MATCH(orders!L$1, products!$A$1:$G$1, 0))</f>
        <v>2.9849999999999999</v>
      </c>
      <c r="M474" s="6">
        <f t="shared" si="22"/>
        <v>5.97</v>
      </c>
      <c r="N474" t="str">
        <f t="shared" si="23"/>
        <v>Arabica</v>
      </c>
      <c r="O474" t="str">
        <f t="shared" si="21"/>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_xlfn.XLOOKUP(C475,customers!$A$2:$A$1001,customers!$B$2:$B$1001,,0)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 MATCH(orders!$D475, products!$A$1:$A$49, 0), MATCH(orders!I$1, products!$A$1:$G$1, 0))</f>
        <v>Ara</v>
      </c>
      <c r="J475" t="str">
        <f>INDEX(products!$A$1:$G$49, MATCH(orders!$D475, products!$A$1:$A$49, 0), MATCH(orders!J$1, products!$A$1:$G$1, 0))</f>
        <v>L</v>
      </c>
      <c r="K475" s="5">
        <f>INDEX(products!$A$1:$G$49, MATCH(orders!$D475, products!$A$1:$A$49, 0), MATCH(orders!K$1, products!$A$1:$G$1, 0))</f>
        <v>1</v>
      </c>
      <c r="L475" s="6">
        <f>INDEX(products!$A$1:$G$49, MATCH(orders!$D475, products!$A$1:$A$49, 0), MATCH(orders!L$1, products!$A$1:$G$1, 0))</f>
        <v>12.95</v>
      </c>
      <c r="M475" s="6">
        <f t="shared" si="22"/>
        <v>25.9</v>
      </c>
      <c r="N475" t="str">
        <f t="shared" si="23"/>
        <v>Arabica</v>
      </c>
      <c r="O475" t="str">
        <f t="shared" si="21"/>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_xlfn.XLOOKUP(C476,customers!$A$2:$A$1001,customers!$B$2:$B$1001,,0)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 MATCH(orders!$D476, products!$A$1:$A$49, 0), MATCH(orders!I$1, products!$A$1:$G$1, 0))</f>
        <v>Exc</v>
      </c>
      <c r="J476" t="str">
        <f>INDEX(products!$A$1:$G$49, MATCH(orders!$D476, products!$A$1:$A$49, 0), MATCH(orders!J$1, products!$A$1:$G$1, 0))</f>
        <v>M</v>
      </c>
      <c r="K476" s="5">
        <f>INDEX(products!$A$1:$G$49, MATCH(orders!$D476, products!$A$1:$A$49, 0), MATCH(orders!K$1, products!$A$1:$G$1, 0))</f>
        <v>2.5</v>
      </c>
      <c r="L476" s="6">
        <f>INDEX(products!$A$1:$G$49, MATCH(orders!$D476, products!$A$1:$A$49, 0), MATCH(orders!L$1, products!$A$1:$G$1, 0))</f>
        <v>31.624999999999996</v>
      </c>
      <c r="M476" s="6">
        <f t="shared" si="22"/>
        <v>31.624999999999996</v>
      </c>
      <c r="N476" t="str">
        <f t="shared" si="23"/>
        <v>Excelsa</v>
      </c>
      <c r="O476" t="str">
        <f t="shared" si="21"/>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_xlfn.XLOOKUP(C477,customers!$A$2:$A$1001,customers!$B$2:$B$1001,,0)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 MATCH(orders!$D477, products!$A$1:$A$49, 0), MATCH(orders!I$1, products!$A$1:$G$1, 0))</f>
        <v>Lib</v>
      </c>
      <c r="J477" t="str">
        <f>INDEX(products!$A$1:$G$49, MATCH(orders!$D477, products!$A$1:$A$49, 0), MATCH(orders!J$1, products!$A$1:$G$1, 0))</f>
        <v>M</v>
      </c>
      <c r="K477" s="5">
        <f>INDEX(products!$A$1:$G$49, MATCH(orders!$D477, products!$A$1:$A$49, 0), MATCH(orders!K$1, products!$A$1:$G$1, 0))</f>
        <v>0.2</v>
      </c>
      <c r="L477" s="6">
        <f>INDEX(products!$A$1:$G$49, MATCH(orders!$D477, products!$A$1:$A$49, 0), MATCH(orders!L$1, products!$A$1:$G$1, 0))</f>
        <v>4.3650000000000002</v>
      </c>
      <c r="M477" s="6">
        <f t="shared" si="22"/>
        <v>8.73</v>
      </c>
      <c r="N477" t="str">
        <f t="shared" si="23"/>
        <v>Liberica</v>
      </c>
      <c r="O477" t="str">
        <f t="shared" si="21"/>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_xlfn.XLOOKUP(C478,customers!$A$2:$A$1001,customers!$B$2:$B$1001,,0)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 MATCH(orders!$D478, products!$A$1:$A$49, 0), MATCH(orders!I$1, products!$A$1:$G$1, 0))</f>
        <v>Exc</v>
      </c>
      <c r="J478" t="str">
        <f>INDEX(products!$A$1:$G$49, MATCH(orders!$D478, products!$A$1:$A$49, 0), MATCH(orders!J$1, products!$A$1:$G$1, 0))</f>
        <v>L</v>
      </c>
      <c r="K478" s="5">
        <f>INDEX(products!$A$1:$G$49, MATCH(orders!$D478, products!$A$1:$A$49, 0), MATCH(orders!K$1, products!$A$1:$G$1, 0))</f>
        <v>0.2</v>
      </c>
      <c r="L478" s="6">
        <f>INDEX(products!$A$1:$G$49, MATCH(orders!$D478, products!$A$1:$A$49, 0), MATCH(orders!L$1, products!$A$1:$G$1, 0))</f>
        <v>4.4550000000000001</v>
      </c>
      <c r="M478" s="6">
        <f t="shared" si="22"/>
        <v>26.73</v>
      </c>
      <c r="N478" t="str">
        <f t="shared" si="23"/>
        <v>Excelsa</v>
      </c>
      <c r="O478" t="str">
        <f t="shared" si="21"/>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_xlfn.XLOOKUP(C479,customers!$A$2:$A$1001,customers!$B$2:$B$1001,,0)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 MATCH(orders!$D479, products!$A$1:$A$49, 0), MATCH(orders!I$1, products!$A$1:$G$1, 0))</f>
        <v>Lib</v>
      </c>
      <c r="J479" t="str">
        <f>INDEX(products!$A$1:$G$49, MATCH(orders!$D479, products!$A$1:$A$49, 0), MATCH(orders!J$1, products!$A$1:$G$1, 0))</f>
        <v>M</v>
      </c>
      <c r="K479" s="5">
        <f>INDEX(products!$A$1:$G$49, MATCH(orders!$D479, products!$A$1:$A$49, 0), MATCH(orders!K$1, products!$A$1:$G$1, 0))</f>
        <v>0.2</v>
      </c>
      <c r="L479" s="6">
        <f>INDEX(products!$A$1:$G$49, MATCH(orders!$D479, products!$A$1:$A$49, 0), MATCH(orders!L$1, products!$A$1:$G$1, 0))</f>
        <v>4.3650000000000002</v>
      </c>
      <c r="M479" s="6">
        <f t="shared" si="22"/>
        <v>26.19</v>
      </c>
      <c r="N479" t="str">
        <f t="shared" si="23"/>
        <v>Liberica</v>
      </c>
      <c r="O479" t="str">
        <f t="shared" si="21"/>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_xlfn.XLOOKUP(C480,customers!$A$2:$A$1001,customers!$B$2:$B$1001,,0)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 MATCH(orders!$D480, products!$A$1:$A$49, 0), MATCH(orders!I$1, products!$A$1:$G$1, 0))</f>
        <v>Rob</v>
      </c>
      <c r="J480" t="str">
        <f>INDEX(products!$A$1:$G$49, MATCH(orders!$D480, products!$A$1:$A$49, 0), MATCH(orders!J$1, products!$A$1:$G$1, 0))</f>
        <v>D</v>
      </c>
      <c r="K480" s="5">
        <f>INDEX(products!$A$1:$G$49, MATCH(orders!$D480, products!$A$1:$A$49, 0), MATCH(orders!K$1, products!$A$1:$G$1, 0))</f>
        <v>1</v>
      </c>
      <c r="L480" s="6">
        <f>INDEX(products!$A$1:$G$49, MATCH(orders!$D480, products!$A$1:$A$49, 0), MATCH(orders!L$1, products!$A$1:$G$1, 0))</f>
        <v>8.9499999999999993</v>
      </c>
      <c r="M480" s="6">
        <f t="shared" si="22"/>
        <v>53.699999999999996</v>
      </c>
      <c r="N480" t="str">
        <f t="shared" si="23"/>
        <v>Robusta</v>
      </c>
      <c r="O480" t="str">
        <f t="shared" si="21"/>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_xlfn.XLOOKUP(C481,customers!$A$2:$A$1001,customers!$B$2:$B$1001,,0)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 MATCH(orders!$D481, products!$A$1:$A$49, 0), MATCH(orders!I$1, products!$A$1:$G$1, 0))</f>
        <v>Exc</v>
      </c>
      <c r="J481" t="str">
        <f>INDEX(products!$A$1:$G$49, MATCH(orders!$D481, products!$A$1:$A$49, 0), MATCH(orders!J$1, products!$A$1:$G$1, 0))</f>
        <v>M</v>
      </c>
      <c r="K481" s="5">
        <f>INDEX(products!$A$1:$G$49, MATCH(orders!$D481, products!$A$1:$A$49, 0), MATCH(orders!K$1, products!$A$1:$G$1, 0))</f>
        <v>2.5</v>
      </c>
      <c r="L481" s="6">
        <f>INDEX(products!$A$1:$G$49, MATCH(orders!$D481, products!$A$1:$A$49, 0), MATCH(orders!L$1, products!$A$1:$G$1, 0))</f>
        <v>31.624999999999996</v>
      </c>
      <c r="M481" s="6">
        <f t="shared" si="22"/>
        <v>126.49999999999999</v>
      </c>
      <c r="N481" t="str">
        <f t="shared" si="23"/>
        <v>Excelsa</v>
      </c>
      <c r="O481" t="str">
        <f t="shared" si="21"/>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_xlfn.XLOOKUP(C482,customers!$A$2:$A$1001,customers!$B$2:$B$1001,,0)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 MATCH(orders!$D482, products!$A$1:$A$49, 0), MATCH(orders!I$1, products!$A$1:$G$1, 0))</f>
        <v>Exc</v>
      </c>
      <c r="J482" t="str">
        <f>INDEX(products!$A$1:$G$49, MATCH(orders!$D482, products!$A$1:$A$49, 0), MATCH(orders!J$1, products!$A$1:$G$1, 0))</f>
        <v>M</v>
      </c>
      <c r="K482" s="5">
        <f>INDEX(products!$A$1:$G$49, MATCH(orders!$D482, products!$A$1:$A$49, 0), MATCH(orders!K$1, products!$A$1:$G$1, 0))</f>
        <v>0.2</v>
      </c>
      <c r="L482" s="6">
        <f>INDEX(products!$A$1:$G$49, MATCH(orders!$D482, products!$A$1:$A$49, 0), MATCH(orders!L$1, products!$A$1:$G$1, 0))</f>
        <v>4.125</v>
      </c>
      <c r="M482" s="6">
        <f t="shared" si="22"/>
        <v>4.125</v>
      </c>
      <c r="N482" t="str">
        <f t="shared" si="23"/>
        <v>Excelsa</v>
      </c>
      <c r="O482" t="str">
        <f t="shared" si="21"/>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_xlfn.XLOOKUP(C483,customers!$A$2:$A$1001,customers!$B$2:$B$1001,,0)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 MATCH(orders!$D483, products!$A$1:$A$49, 0), MATCH(orders!I$1, products!$A$1:$G$1, 0))</f>
        <v>Rob</v>
      </c>
      <c r="J483" t="str">
        <f>INDEX(products!$A$1:$G$49, MATCH(orders!$D483, products!$A$1:$A$49, 0), MATCH(orders!J$1, products!$A$1:$G$1, 0))</f>
        <v>L</v>
      </c>
      <c r="K483" s="5">
        <f>INDEX(products!$A$1:$G$49, MATCH(orders!$D483, products!$A$1:$A$49, 0), MATCH(orders!K$1, products!$A$1:$G$1, 0))</f>
        <v>1</v>
      </c>
      <c r="L483" s="6">
        <f>INDEX(products!$A$1:$G$49, MATCH(orders!$D483, products!$A$1:$A$49, 0), MATCH(orders!L$1, products!$A$1:$G$1, 0))</f>
        <v>11.95</v>
      </c>
      <c r="M483" s="6">
        <f t="shared" si="22"/>
        <v>23.9</v>
      </c>
      <c r="N483" t="str">
        <f t="shared" si="23"/>
        <v>Robusta</v>
      </c>
      <c r="O483" t="str">
        <f t="shared" si="21"/>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_xlfn.XLOOKUP(C484,customers!$A$2:$A$1001,customers!$B$2:$B$1001,,0)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 MATCH(orders!$D484, products!$A$1:$A$49, 0), MATCH(orders!I$1, products!$A$1:$G$1, 0))</f>
        <v>Exc</v>
      </c>
      <c r="J484" t="str">
        <f>INDEX(products!$A$1:$G$49, MATCH(orders!$D484, products!$A$1:$A$49, 0), MATCH(orders!J$1, products!$A$1:$G$1, 0))</f>
        <v>D</v>
      </c>
      <c r="K484" s="5">
        <f>INDEX(products!$A$1:$G$49, MATCH(orders!$D484, products!$A$1:$A$49, 0), MATCH(orders!K$1, products!$A$1:$G$1, 0))</f>
        <v>2.5</v>
      </c>
      <c r="L484" s="6">
        <f>INDEX(products!$A$1:$G$49, MATCH(orders!$D484, products!$A$1:$A$49, 0), MATCH(orders!L$1, products!$A$1:$G$1, 0))</f>
        <v>27.945</v>
      </c>
      <c r="M484" s="6">
        <f t="shared" si="22"/>
        <v>139.72499999999999</v>
      </c>
      <c r="N484" t="str">
        <f t="shared" si="23"/>
        <v>Excelsa</v>
      </c>
      <c r="O484" t="str">
        <f t="shared" si="21"/>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_xlfn.XLOOKUP(C485,customers!$A$2:$A$1001,customers!$B$2:$B$1001,,0)</f>
        <v>Orion Dyott</v>
      </c>
      <c r="G485" s="2" t="str">
        <f>IF(_xlfn.XLOOKUP(C485,customers!$A$1:$A$1001,customers!$C$1:$C$1001,,0)=0,"",_xlfn.XLOOKUP(C485,customers!$A$1:$A$1001,customers!$C$1:$C$1001,,0))</f>
        <v/>
      </c>
      <c r="H485" s="2" t="str">
        <f>_xlfn.XLOOKUP(C485,customers!$A$1:$A$1001,customers!$G$1:$G$1001,,0)</f>
        <v>United States</v>
      </c>
      <c r="I485" t="str">
        <f>INDEX(products!$A$1:$G$49, MATCH(orders!$D485, products!$A$1:$A$49, 0), MATCH(orders!I$1, products!$A$1:$G$1, 0))</f>
        <v>Lib</v>
      </c>
      <c r="J485" t="str">
        <f>INDEX(products!$A$1:$G$49, MATCH(orders!$D485, products!$A$1:$A$49, 0), MATCH(orders!J$1, products!$A$1:$G$1, 0))</f>
        <v>D</v>
      </c>
      <c r="K485" s="5">
        <f>INDEX(products!$A$1:$G$49, MATCH(orders!$D485, products!$A$1:$A$49, 0), MATCH(orders!K$1, products!$A$1:$G$1, 0))</f>
        <v>2.5</v>
      </c>
      <c r="L485" s="6">
        <f>INDEX(products!$A$1:$G$49, MATCH(orders!$D485, products!$A$1:$A$49, 0), MATCH(orders!L$1, products!$A$1:$G$1, 0))</f>
        <v>29.784999999999997</v>
      </c>
      <c r="M485" s="6">
        <f t="shared" si="22"/>
        <v>59.569999999999993</v>
      </c>
      <c r="N485" t="str">
        <f t="shared" si="23"/>
        <v>Liberica</v>
      </c>
      <c r="O485" t="str">
        <f t="shared" si="21"/>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_xlfn.XLOOKUP(C486,customers!$A$2:$A$1001,customers!$B$2:$B$1001,,0)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 MATCH(orders!$D486, products!$A$1:$A$49, 0), MATCH(orders!I$1, products!$A$1:$G$1, 0))</f>
        <v>Lib</v>
      </c>
      <c r="J486" t="str">
        <f>INDEX(products!$A$1:$G$49, MATCH(orders!$D486, products!$A$1:$A$49, 0), MATCH(orders!J$1, products!$A$1:$G$1, 0))</f>
        <v>L</v>
      </c>
      <c r="K486" s="5">
        <f>INDEX(products!$A$1:$G$49, MATCH(orders!$D486, products!$A$1:$A$49, 0), MATCH(orders!K$1, products!$A$1:$G$1, 0))</f>
        <v>0.5</v>
      </c>
      <c r="L486" s="6">
        <f>INDEX(products!$A$1:$G$49, MATCH(orders!$D486, products!$A$1:$A$49, 0), MATCH(orders!L$1, products!$A$1:$G$1, 0))</f>
        <v>9.51</v>
      </c>
      <c r="M486" s="6">
        <f t="shared" si="22"/>
        <v>57.06</v>
      </c>
      <c r="N486" t="str">
        <f t="shared" si="23"/>
        <v>Liberica</v>
      </c>
      <c r="O486" t="str">
        <f t="shared" si="21"/>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_xlfn.XLOOKUP(C487,customers!$A$2:$A$1001,customers!$B$2:$B$1001,,0)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 MATCH(orders!$D487, products!$A$1:$A$49, 0), MATCH(orders!I$1, products!$A$1:$G$1, 0))</f>
        <v>Rob</v>
      </c>
      <c r="J487" t="str">
        <f>INDEX(products!$A$1:$G$49, MATCH(orders!$D487, products!$A$1:$A$49, 0), MATCH(orders!J$1, products!$A$1:$G$1, 0))</f>
        <v>L</v>
      </c>
      <c r="K487" s="5">
        <f>INDEX(products!$A$1:$G$49, MATCH(orders!$D487, products!$A$1:$A$49, 0), MATCH(orders!K$1, products!$A$1:$G$1, 0))</f>
        <v>0.2</v>
      </c>
      <c r="L487" s="6">
        <f>INDEX(products!$A$1:$G$49, MATCH(orders!$D487, products!$A$1:$A$49, 0), MATCH(orders!L$1, products!$A$1:$G$1, 0))</f>
        <v>3.5849999999999995</v>
      </c>
      <c r="M487" s="6">
        <f t="shared" si="22"/>
        <v>21.509999999999998</v>
      </c>
      <c r="N487" t="str">
        <f t="shared" si="23"/>
        <v>Robusta</v>
      </c>
      <c r="O487" t="str">
        <f t="shared" si="21"/>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_xlfn.XLOOKUP(C488,customers!$A$2:$A$1001,customers!$B$2:$B$1001,,0)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 MATCH(orders!$D488, products!$A$1:$A$49, 0), MATCH(orders!I$1, products!$A$1:$G$1, 0))</f>
        <v>Lib</v>
      </c>
      <c r="J488" t="str">
        <f>INDEX(products!$A$1:$G$49, MATCH(orders!$D488, products!$A$1:$A$49, 0), MATCH(orders!J$1, products!$A$1:$G$1, 0))</f>
        <v>M</v>
      </c>
      <c r="K488" s="5">
        <f>INDEX(products!$A$1:$G$49, MATCH(orders!$D488, products!$A$1:$A$49, 0), MATCH(orders!K$1, products!$A$1:$G$1, 0))</f>
        <v>0.5</v>
      </c>
      <c r="L488" s="6">
        <f>INDEX(products!$A$1:$G$49, MATCH(orders!$D488, products!$A$1:$A$49, 0), MATCH(orders!L$1, products!$A$1:$G$1, 0))</f>
        <v>8.73</v>
      </c>
      <c r="M488" s="6">
        <f t="shared" si="22"/>
        <v>52.38</v>
      </c>
      <c r="N488" t="str">
        <f t="shared" si="23"/>
        <v>Liberica</v>
      </c>
      <c r="O488" t="str">
        <f t="shared" si="21"/>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_xlfn.XLOOKUP(C489,customers!$A$2:$A$1001,customers!$B$2:$B$1001,,0)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 MATCH(orders!$D489, products!$A$1:$A$49, 0), MATCH(orders!I$1, products!$A$1:$G$1, 0))</f>
        <v>Exc</v>
      </c>
      <c r="J489" t="str">
        <f>INDEX(products!$A$1:$G$49, MATCH(orders!$D489, products!$A$1:$A$49, 0), MATCH(orders!J$1, products!$A$1:$G$1, 0))</f>
        <v>D</v>
      </c>
      <c r="K489" s="5">
        <f>INDEX(products!$A$1:$G$49, MATCH(orders!$D489, products!$A$1:$A$49, 0), MATCH(orders!K$1, products!$A$1:$G$1, 0))</f>
        <v>1</v>
      </c>
      <c r="L489" s="6">
        <f>INDEX(products!$A$1:$G$49, MATCH(orders!$D489, products!$A$1:$A$49, 0), MATCH(orders!L$1, products!$A$1:$G$1, 0))</f>
        <v>12.15</v>
      </c>
      <c r="M489" s="6">
        <f t="shared" si="22"/>
        <v>72.900000000000006</v>
      </c>
      <c r="N489" t="str">
        <f t="shared" si="23"/>
        <v>Excelsa</v>
      </c>
      <c r="O489" t="str">
        <f t="shared" si="21"/>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_xlfn.XLOOKUP(C490,customers!$A$2:$A$1001,customers!$B$2:$B$1001,,0)</f>
        <v>Becky Semkins</v>
      </c>
      <c r="G490" s="2" t="str">
        <f>IF(_xlfn.XLOOKUP(C490,customers!$A$1:$A$1001,customers!$C$1:$C$1001,,0)=0,"",_xlfn.XLOOKUP(C490,customers!$A$1:$A$1001,customers!$C$1:$C$1001,,0))</f>
        <v>bsemkinsdk@unc.edu</v>
      </c>
      <c r="H490" s="2" t="str">
        <f>_xlfn.XLOOKUP(C490,customers!$A$1:$A$1001,customers!$G$1:$G$1001,,0)</f>
        <v>Ireland</v>
      </c>
      <c r="I490" t="str">
        <f>INDEX(products!$A$1:$G$49, MATCH(orders!$D490, products!$A$1:$A$49, 0), MATCH(orders!I$1, products!$A$1:$G$1, 0))</f>
        <v>Rob</v>
      </c>
      <c r="J490" t="str">
        <f>INDEX(products!$A$1:$G$49, MATCH(orders!$D490, products!$A$1:$A$49, 0), MATCH(orders!J$1, products!$A$1:$G$1, 0))</f>
        <v>M</v>
      </c>
      <c r="K490" s="5">
        <f>INDEX(products!$A$1:$G$49, MATCH(orders!$D490, products!$A$1:$A$49, 0), MATCH(orders!K$1, products!$A$1:$G$1, 0))</f>
        <v>0.2</v>
      </c>
      <c r="L490" s="6">
        <f>INDEX(products!$A$1:$G$49, MATCH(orders!$D490, products!$A$1:$A$49, 0), MATCH(orders!L$1, products!$A$1:$G$1, 0))</f>
        <v>2.9849999999999999</v>
      </c>
      <c r="M490" s="6">
        <f t="shared" si="22"/>
        <v>14.924999999999999</v>
      </c>
      <c r="N490" t="str">
        <f t="shared" si="23"/>
        <v>Robusta</v>
      </c>
      <c r="O490" t="str">
        <f t="shared" si="21"/>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_xlfn.XLOOKUP(C491,customers!$A$2:$A$1001,customers!$B$2:$B$1001,,0)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 MATCH(orders!$D491, products!$A$1:$A$49, 0), MATCH(orders!I$1, products!$A$1:$G$1, 0))</f>
        <v>Lib</v>
      </c>
      <c r="J491" t="str">
        <f>INDEX(products!$A$1:$G$49, MATCH(orders!$D491, products!$A$1:$A$49, 0), MATCH(orders!J$1, products!$A$1:$G$1, 0))</f>
        <v>L</v>
      </c>
      <c r="K491" s="5">
        <f>INDEX(products!$A$1:$G$49, MATCH(orders!$D491, products!$A$1:$A$49, 0), MATCH(orders!K$1, products!$A$1:$G$1, 0))</f>
        <v>1</v>
      </c>
      <c r="L491" s="6">
        <f>INDEX(products!$A$1:$G$49, MATCH(orders!$D491, products!$A$1:$A$49, 0), MATCH(orders!L$1, products!$A$1:$G$1, 0))</f>
        <v>15.85</v>
      </c>
      <c r="M491" s="6">
        <f t="shared" si="22"/>
        <v>95.1</v>
      </c>
      <c r="N491" t="str">
        <f t="shared" si="23"/>
        <v>Liberica</v>
      </c>
      <c r="O491" t="str">
        <f t="shared" si="21"/>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_xlfn.XLOOKUP(C492,customers!$A$2:$A$1001,customers!$B$2:$B$1001,,0)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 MATCH(orders!$D492, products!$A$1:$A$49, 0), MATCH(orders!I$1, products!$A$1:$G$1, 0))</f>
        <v>Lib</v>
      </c>
      <c r="J492" t="str">
        <f>INDEX(products!$A$1:$G$49, MATCH(orders!$D492, products!$A$1:$A$49, 0), MATCH(orders!J$1, products!$A$1:$G$1, 0))</f>
        <v>D</v>
      </c>
      <c r="K492" s="5">
        <f>INDEX(products!$A$1:$G$49, MATCH(orders!$D492, products!$A$1:$A$49, 0), MATCH(orders!K$1, products!$A$1:$G$1, 0))</f>
        <v>0.5</v>
      </c>
      <c r="L492" s="6">
        <f>INDEX(products!$A$1:$G$49, MATCH(orders!$D492, products!$A$1:$A$49, 0), MATCH(orders!L$1, products!$A$1:$G$1, 0))</f>
        <v>7.77</v>
      </c>
      <c r="M492" s="6">
        <f t="shared" si="22"/>
        <v>15.54</v>
      </c>
      <c r="N492" t="str">
        <f t="shared" si="23"/>
        <v>Liberica</v>
      </c>
      <c r="O492" t="str">
        <f t="shared" si="21"/>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_xlfn.XLOOKUP(C493,customers!$A$2:$A$1001,customers!$B$2:$B$1001,,0)</f>
        <v>Kendra Backshell</v>
      </c>
      <c r="G493" s="2" t="str">
        <f>IF(_xlfn.XLOOKUP(C493,customers!$A$1:$A$1001,customers!$C$1:$C$1001,,0)=0,"",_xlfn.XLOOKUP(C493,customers!$A$1:$A$1001,customers!$C$1:$C$1001,,0))</f>
        <v/>
      </c>
      <c r="H493" s="2" t="str">
        <f>_xlfn.XLOOKUP(C493,customers!$A$1:$A$1001,customers!$G$1:$G$1001,,0)</f>
        <v>United States</v>
      </c>
      <c r="I493" t="str">
        <f>INDEX(products!$A$1:$G$49, MATCH(orders!$D493, products!$A$1:$A$49, 0), MATCH(orders!I$1, products!$A$1:$G$1, 0))</f>
        <v>Lib</v>
      </c>
      <c r="J493" t="str">
        <f>INDEX(products!$A$1:$G$49, MATCH(orders!$D493, products!$A$1:$A$49, 0), MATCH(orders!J$1, products!$A$1:$G$1, 0))</f>
        <v>D</v>
      </c>
      <c r="K493" s="5">
        <f>INDEX(products!$A$1:$G$49, MATCH(orders!$D493, products!$A$1:$A$49, 0), MATCH(orders!K$1, products!$A$1:$G$1, 0))</f>
        <v>0.2</v>
      </c>
      <c r="L493" s="6">
        <f>INDEX(products!$A$1:$G$49, MATCH(orders!$D493, products!$A$1:$A$49, 0), MATCH(orders!L$1, products!$A$1:$G$1, 0))</f>
        <v>3.8849999999999998</v>
      </c>
      <c r="M493" s="6">
        <f t="shared" si="22"/>
        <v>23.31</v>
      </c>
      <c r="N493" t="str">
        <f t="shared" si="23"/>
        <v>Liberica</v>
      </c>
      <c r="O493" t="str">
        <f t="shared" si="21"/>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_xlfn.XLOOKUP(C494,customers!$A$2:$A$1001,customers!$B$2:$B$1001,,0)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 MATCH(orders!$D494, products!$A$1:$A$49, 0), MATCH(orders!I$1, products!$A$1:$G$1, 0))</f>
        <v>Exc</v>
      </c>
      <c r="J494" t="str">
        <f>INDEX(products!$A$1:$G$49, MATCH(orders!$D494, products!$A$1:$A$49, 0), MATCH(orders!J$1, products!$A$1:$G$1, 0))</f>
        <v>M</v>
      </c>
      <c r="K494" s="5">
        <f>INDEX(products!$A$1:$G$49, MATCH(orders!$D494, products!$A$1:$A$49, 0), MATCH(orders!K$1, products!$A$1:$G$1, 0))</f>
        <v>0.2</v>
      </c>
      <c r="L494" s="6">
        <f>INDEX(products!$A$1:$G$49, MATCH(orders!$D494, products!$A$1:$A$49, 0), MATCH(orders!L$1, products!$A$1:$G$1, 0))</f>
        <v>4.125</v>
      </c>
      <c r="M494" s="6">
        <f t="shared" si="22"/>
        <v>4.125</v>
      </c>
      <c r="N494" t="str">
        <f t="shared" si="23"/>
        <v>Excelsa</v>
      </c>
      <c r="O494" t="str">
        <f t="shared" si="21"/>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_xlfn.XLOOKUP(C495,customers!$A$2:$A$1001,customers!$B$2:$B$1001,,0)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 MATCH(orders!$D495, products!$A$1:$A$49, 0), MATCH(orders!I$1, products!$A$1:$G$1, 0))</f>
        <v>Rob</v>
      </c>
      <c r="J495" t="str">
        <f>INDEX(products!$A$1:$G$49, MATCH(orders!$D495, products!$A$1:$A$49, 0), MATCH(orders!J$1, products!$A$1:$G$1, 0))</f>
        <v>M</v>
      </c>
      <c r="K495" s="5">
        <f>INDEX(products!$A$1:$G$49, MATCH(orders!$D495, products!$A$1:$A$49, 0), MATCH(orders!K$1, products!$A$1:$G$1, 0))</f>
        <v>0.5</v>
      </c>
      <c r="L495" s="6">
        <f>INDEX(products!$A$1:$G$49, MATCH(orders!$D495, products!$A$1:$A$49, 0), MATCH(orders!L$1, products!$A$1:$G$1, 0))</f>
        <v>5.97</v>
      </c>
      <c r="M495" s="6">
        <f t="shared" si="22"/>
        <v>35.82</v>
      </c>
      <c r="N495" t="str">
        <f t="shared" si="23"/>
        <v>Robusta</v>
      </c>
      <c r="O495" t="str">
        <f t="shared" si="21"/>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_xlfn.XLOOKUP(C496,customers!$A$2:$A$1001,customers!$B$2:$B$1001,,0)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 MATCH(orders!$D496, products!$A$1:$A$49, 0), MATCH(orders!I$1, products!$A$1:$G$1, 0))</f>
        <v>Lib</v>
      </c>
      <c r="J496" t="str">
        <f>INDEX(products!$A$1:$G$49, MATCH(orders!$D496, products!$A$1:$A$49, 0), MATCH(orders!J$1, products!$A$1:$G$1, 0))</f>
        <v>L</v>
      </c>
      <c r="K496" s="5">
        <f>INDEX(products!$A$1:$G$49, MATCH(orders!$D496, products!$A$1:$A$49, 0), MATCH(orders!K$1, products!$A$1:$G$1, 0))</f>
        <v>1</v>
      </c>
      <c r="L496" s="6">
        <f>INDEX(products!$A$1:$G$49, MATCH(orders!$D496, products!$A$1:$A$49, 0), MATCH(orders!L$1, products!$A$1:$G$1, 0))</f>
        <v>15.85</v>
      </c>
      <c r="M496" s="6">
        <f t="shared" si="22"/>
        <v>31.7</v>
      </c>
      <c r="N496" t="str">
        <f t="shared" si="23"/>
        <v>Liberica</v>
      </c>
      <c r="O496" t="str">
        <f t="shared" si="21"/>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_xlfn.XLOOKUP(C497,customers!$A$2:$A$1001,customers!$B$2:$B$1001,,0)</f>
        <v>Currey MacAllister</v>
      </c>
      <c r="G497" s="2" t="str">
        <f>IF(_xlfn.XLOOKUP(C497,customers!$A$1:$A$1001,customers!$C$1:$C$1001,,0)=0,"",_xlfn.XLOOKUP(C497,customers!$A$1:$A$1001,customers!$C$1:$C$1001,,0))</f>
        <v/>
      </c>
      <c r="H497" s="2" t="str">
        <f>_xlfn.XLOOKUP(C497,customers!$A$1:$A$1001,customers!$G$1:$G$1001,,0)</f>
        <v>United States</v>
      </c>
      <c r="I497" t="str">
        <f>INDEX(products!$A$1:$G$49, MATCH(orders!$D497, products!$A$1:$A$49, 0), MATCH(orders!I$1, products!$A$1:$G$1, 0))</f>
        <v>Lib</v>
      </c>
      <c r="J497" t="str">
        <f>INDEX(products!$A$1:$G$49, MATCH(orders!$D497, products!$A$1:$A$49, 0), MATCH(orders!J$1, products!$A$1:$G$1, 0))</f>
        <v>L</v>
      </c>
      <c r="K497" s="5">
        <f>INDEX(products!$A$1:$G$49, MATCH(orders!$D497, products!$A$1:$A$49, 0), MATCH(orders!K$1, products!$A$1:$G$1, 0))</f>
        <v>1</v>
      </c>
      <c r="L497" s="6">
        <f>INDEX(products!$A$1:$G$49, MATCH(orders!$D497, products!$A$1:$A$49, 0), MATCH(orders!L$1, products!$A$1:$G$1, 0))</f>
        <v>15.85</v>
      </c>
      <c r="M497" s="6">
        <f t="shared" si="22"/>
        <v>79.25</v>
      </c>
      <c r="N497" t="str">
        <f t="shared" si="23"/>
        <v>Liberica</v>
      </c>
      <c r="O497" t="str">
        <f t="shared" si="21"/>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_xlfn.XLOOKUP(C498,customers!$A$2:$A$1001,customers!$B$2:$B$1001,,0)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 MATCH(orders!$D498, products!$A$1:$A$49, 0), MATCH(orders!I$1, products!$A$1:$G$1, 0))</f>
        <v>Exc</v>
      </c>
      <c r="J498" t="str">
        <f>INDEX(products!$A$1:$G$49, MATCH(orders!$D498, products!$A$1:$A$49, 0), MATCH(orders!J$1, products!$A$1:$G$1, 0))</f>
        <v>D</v>
      </c>
      <c r="K498" s="5">
        <f>INDEX(products!$A$1:$G$49, MATCH(orders!$D498, products!$A$1:$A$49, 0), MATCH(orders!K$1, products!$A$1:$G$1, 0))</f>
        <v>0.2</v>
      </c>
      <c r="L498" s="6">
        <f>INDEX(products!$A$1:$G$49, MATCH(orders!$D498, products!$A$1:$A$49, 0), MATCH(orders!L$1, products!$A$1:$G$1, 0))</f>
        <v>3.645</v>
      </c>
      <c r="M498" s="6">
        <f t="shared" si="22"/>
        <v>10.935</v>
      </c>
      <c r="N498" t="str">
        <f t="shared" si="23"/>
        <v>Excelsa</v>
      </c>
      <c r="O498" t="str">
        <f t="shared" si="21"/>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_xlfn.XLOOKUP(C499,customers!$A$2:$A$1001,customers!$B$2:$B$1001,,0)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 MATCH(orders!$D499, products!$A$1:$A$49, 0), MATCH(orders!I$1, products!$A$1:$G$1, 0))</f>
        <v>Ara</v>
      </c>
      <c r="J499" t="str">
        <f>INDEX(products!$A$1:$G$49, MATCH(orders!$D499, products!$A$1:$A$49, 0), MATCH(orders!J$1, products!$A$1:$G$1, 0))</f>
        <v>D</v>
      </c>
      <c r="K499" s="5">
        <f>INDEX(products!$A$1:$G$49, MATCH(orders!$D499, products!$A$1:$A$49, 0), MATCH(orders!K$1, products!$A$1:$G$1, 0))</f>
        <v>1</v>
      </c>
      <c r="L499" s="6">
        <f>INDEX(products!$A$1:$G$49, MATCH(orders!$D499, products!$A$1:$A$49, 0), MATCH(orders!L$1, products!$A$1:$G$1, 0))</f>
        <v>9.9499999999999993</v>
      </c>
      <c r="M499" s="6">
        <f t="shared" si="22"/>
        <v>39.799999999999997</v>
      </c>
      <c r="N499" t="str">
        <f t="shared" si="23"/>
        <v>Arabica</v>
      </c>
      <c r="O499" t="str">
        <f t="shared" si="21"/>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_xlfn.XLOOKUP(C500,customers!$A$2:$A$1001,customers!$B$2:$B$1001,,0)</f>
        <v>Marja Urion</v>
      </c>
      <c r="G500" s="2" t="str">
        <f>IF(_xlfn.XLOOKUP(C500,customers!$A$1:$A$1001,customers!$C$1:$C$1001,,0)=0,"",_xlfn.XLOOKUP(C500,customers!$A$1:$A$1001,customers!$C$1:$C$1001,,0))</f>
        <v>murione5@alexa.com</v>
      </c>
      <c r="H500" s="2" t="str">
        <f>_xlfn.XLOOKUP(C500,customers!$A$1:$A$1001,customers!$G$1:$G$1001,,0)</f>
        <v>Ireland</v>
      </c>
      <c r="I500" t="str">
        <f>INDEX(products!$A$1:$G$49, MATCH(orders!$D500, products!$A$1:$A$49, 0), MATCH(orders!I$1, products!$A$1:$G$1, 0))</f>
        <v>Rob</v>
      </c>
      <c r="J500" t="str">
        <f>INDEX(products!$A$1:$G$49, MATCH(orders!$D500, products!$A$1:$A$49, 0), MATCH(orders!J$1, products!$A$1:$G$1, 0))</f>
        <v>M</v>
      </c>
      <c r="K500" s="5">
        <f>INDEX(products!$A$1:$G$49, MATCH(orders!$D500, products!$A$1:$A$49, 0), MATCH(orders!K$1, products!$A$1:$G$1, 0))</f>
        <v>1</v>
      </c>
      <c r="L500" s="6">
        <f>INDEX(products!$A$1:$G$49, MATCH(orders!$D500, products!$A$1:$A$49, 0), MATCH(orders!L$1, products!$A$1:$G$1, 0))</f>
        <v>9.9499999999999993</v>
      </c>
      <c r="M500" s="6">
        <f t="shared" si="22"/>
        <v>49.75</v>
      </c>
      <c r="N500" t="str">
        <f t="shared" si="23"/>
        <v>Robusta</v>
      </c>
      <c r="O500" t="str">
        <f t="shared" si="21"/>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_xlfn.XLOOKUP(C501,customers!$A$2:$A$1001,customers!$B$2:$B$1001,,0)</f>
        <v>Malynda Purbrick</v>
      </c>
      <c r="G501" s="2" t="str">
        <f>IF(_xlfn.XLOOKUP(C501,customers!$A$1:$A$1001,customers!$C$1:$C$1001,,0)=0,"",_xlfn.XLOOKUP(C501,customers!$A$1:$A$1001,customers!$C$1:$C$1001,,0))</f>
        <v/>
      </c>
      <c r="H501" s="2" t="str">
        <f>_xlfn.XLOOKUP(C501,customers!$A$1:$A$1001,customers!$G$1:$G$1001,,0)</f>
        <v>Ireland</v>
      </c>
      <c r="I501" t="str">
        <f>INDEX(products!$A$1:$G$49, MATCH(orders!$D501, products!$A$1:$A$49, 0), MATCH(orders!I$1, products!$A$1:$G$1, 0))</f>
        <v>Rob</v>
      </c>
      <c r="J501" t="str">
        <f>INDEX(products!$A$1:$G$49, MATCH(orders!$D501, products!$A$1:$A$49, 0), MATCH(orders!J$1, products!$A$1:$G$1, 0))</f>
        <v>D</v>
      </c>
      <c r="K501" s="5">
        <f>INDEX(products!$A$1:$G$49, MATCH(orders!$D501, products!$A$1:$A$49, 0), MATCH(orders!K$1, products!$A$1:$G$1, 0))</f>
        <v>0.2</v>
      </c>
      <c r="L501" s="6">
        <f>INDEX(products!$A$1:$G$49, MATCH(orders!$D501, products!$A$1:$A$49, 0), MATCH(orders!L$1, products!$A$1:$G$1, 0))</f>
        <v>2.6849999999999996</v>
      </c>
      <c r="M501" s="6">
        <f t="shared" si="22"/>
        <v>8.0549999999999997</v>
      </c>
      <c r="N501" t="str">
        <f t="shared" si="23"/>
        <v>Robusta</v>
      </c>
      <c r="O501" t="str">
        <f t="shared" si="21"/>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_xlfn.XLOOKUP(C502,customers!$A$2:$A$1001,customers!$B$2:$B$1001,,0)</f>
        <v>Alf Housaman</v>
      </c>
      <c r="G502" s="2" t="str">
        <f>IF(_xlfn.XLOOKUP(C502,customers!$A$1:$A$1001,customers!$C$1:$C$1001,,0)=0,"",_xlfn.XLOOKUP(C502,customers!$A$1:$A$1001,customers!$C$1:$C$1001,,0))</f>
        <v/>
      </c>
      <c r="H502" s="2" t="str">
        <f>_xlfn.XLOOKUP(C502,customers!$A$1:$A$1001,customers!$G$1:$G$1001,,0)</f>
        <v>United States</v>
      </c>
      <c r="I502" t="str">
        <f>INDEX(products!$A$1:$G$49, MATCH(orders!$D502, products!$A$1:$A$49, 0), MATCH(orders!I$1, products!$A$1:$G$1, 0))</f>
        <v>Rob</v>
      </c>
      <c r="J502" t="str">
        <f>INDEX(products!$A$1:$G$49, MATCH(orders!$D502, products!$A$1:$A$49, 0), MATCH(orders!J$1, products!$A$1:$G$1, 0))</f>
        <v>L</v>
      </c>
      <c r="K502" s="5">
        <f>INDEX(products!$A$1:$G$49, MATCH(orders!$D502, products!$A$1:$A$49, 0), MATCH(orders!K$1, products!$A$1:$G$1, 0))</f>
        <v>1</v>
      </c>
      <c r="L502" s="6">
        <f>INDEX(products!$A$1:$G$49, MATCH(orders!$D502, products!$A$1:$A$49, 0), MATCH(orders!L$1, products!$A$1:$G$1, 0))</f>
        <v>11.95</v>
      </c>
      <c r="M502" s="6">
        <f t="shared" si="22"/>
        <v>47.8</v>
      </c>
      <c r="N502" t="str">
        <f t="shared" si="23"/>
        <v>Robusta</v>
      </c>
      <c r="O502" t="str">
        <f t="shared" si="21"/>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_xlfn.XLOOKUP(C503,customers!$A$2:$A$1001,customers!$B$2:$B$1001,,0)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 MATCH(orders!$D503, products!$A$1:$A$49, 0), MATCH(orders!I$1, products!$A$1:$G$1, 0))</f>
        <v>Rob</v>
      </c>
      <c r="J503" t="str">
        <f>INDEX(products!$A$1:$G$49, MATCH(orders!$D503, products!$A$1:$A$49, 0), MATCH(orders!J$1, products!$A$1:$G$1, 0))</f>
        <v>M</v>
      </c>
      <c r="K503" s="5">
        <f>INDEX(products!$A$1:$G$49, MATCH(orders!$D503, products!$A$1:$A$49, 0), MATCH(orders!K$1, products!$A$1:$G$1, 0))</f>
        <v>0.2</v>
      </c>
      <c r="L503" s="6">
        <f>INDEX(products!$A$1:$G$49, MATCH(orders!$D503, products!$A$1:$A$49, 0), MATCH(orders!L$1, products!$A$1:$G$1, 0))</f>
        <v>2.9849999999999999</v>
      </c>
      <c r="M503" s="6">
        <f t="shared" si="22"/>
        <v>11.94</v>
      </c>
      <c r="N503" t="str">
        <f t="shared" si="23"/>
        <v>Robusta</v>
      </c>
      <c r="O503" t="str">
        <f t="shared" si="21"/>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_xlfn.XLOOKUP(C504,customers!$A$2:$A$1001,customers!$B$2:$B$1001,,0)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 MATCH(orders!$D504, products!$A$1:$A$49, 0), MATCH(orders!I$1, products!$A$1:$G$1, 0))</f>
        <v>Exc</v>
      </c>
      <c r="J504" t="str">
        <f>INDEX(products!$A$1:$G$49, MATCH(orders!$D504, products!$A$1:$A$49, 0), MATCH(orders!J$1, products!$A$1:$G$1, 0))</f>
        <v>M</v>
      </c>
      <c r="K504" s="5">
        <f>INDEX(products!$A$1:$G$49, MATCH(orders!$D504, products!$A$1:$A$49, 0), MATCH(orders!K$1, products!$A$1:$G$1, 0))</f>
        <v>0.2</v>
      </c>
      <c r="L504" s="6">
        <f>INDEX(products!$A$1:$G$49, MATCH(orders!$D504, products!$A$1:$A$49, 0), MATCH(orders!L$1, products!$A$1:$G$1, 0))</f>
        <v>4.125</v>
      </c>
      <c r="M504" s="6">
        <f t="shared" si="22"/>
        <v>16.5</v>
      </c>
      <c r="N504" t="str">
        <f t="shared" si="23"/>
        <v>Excelsa</v>
      </c>
      <c r="O504" t="str">
        <f t="shared" si="21"/>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_xlfn.XLOOKUP(C505,customers!$A$2:$A$1001,customers!$B$2:$B$1001,,0)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 MATCH(orders!$D505, products!$A$1:$A$49, 0), MATCH(orders!I$1, products!$A$1:$G$1, 0))</f>
        <v>Lib</v>
      </c>
      <c r="J505" t="str">
        <f>INDEX(products!$A$1:$G$49, MATCH(orders!$D505, products!$A$1:$A$49, 0), MATCH(orders!J$1, products!$A$1:$G$1, 0))</f>
        <v>D</v>
      </c>
      <c r="K505" s="5">
        <f>INDEX(products!$A$1:$G$49, MATCH(orders!$D505, products!$A$1:$A$49, 0), MATCH(orders!K$1, products!$A$1:$G$1, 0))</f>
        <v>1</v>
      </c>
      <c r="L505" s="6">
        <f>INDEX(products!$A$1:$G$49, MATCH(orders!$D505, products!$A$1:$A$49, 0), MATCH(orders!L$1, products!$A$1:$G$1, 0))</f>
        <v>12.95</v>
      </c>
      <c r="M505" s="6">
        <f t="shared" si="22"/>
        <v>51.8</v>
      </c>
      <c r="N505" t="str">
        <f t="shared" si="23"/>
        <v>Liberica</v>
      </c>
      <c r="O505" t="str">
        <f t="shared" si="21"/>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_xlfn.XLOOKUP(C506,customers!$A$2:$A$1001,customers!$B$2:$B$1001,,0)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 MATCH(orders!$D506, products!$A$1:$A$49, 0), MATCH(orders!I$1, products!$A$1:$G$1, 0))</f>
        <v>Lib</v>
      </c>
      <c r="J506" t="str">
        <f>INDEX(products!$A$1:$G$49, MATCH(orders!$D506, products!$A$1:$A$49, 0), MATCH(orders!J$1, products!$A$1:$G$1, 0))</f>
        <v>L</v>
      </c>
      <c r="K506" s="5">
        <f>INDEX(products!$A$1:$G$49, MATCH(orders!$D506, products!$A$1:$A$49, 0), MATCH(orders!K$1, products!$A$1:$G$1, 0))</f>
        <v>0.2</v>
      </c>
      <c r="L506" s="6">
        <f>INDEX(products!$A$1:$G$49, MATCH(orders!$D506, products!$A$1:$A$49, 0), MATCH(orders!L$1, products!$A$1:$G$1, 0))</f>
        <v>4.7549999999999999</v>
      </c>
      <c r="M506" s="6">
        <f t="shared" si="22"/>
        <v>14.265000000000001</v>
      </c>
      <c r="N506" t="str">
        <f t="shared" si="23"/>
        <v>Liberica</v>
      </c>
      <c r="O506" t="str">
        <f t="shared" si="21"/>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_xlfn.XLOOKUP(C507,customers!$A$2:$A$1001,customers!$B$2:$B$1001,,0)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 MATCH(orders!$D507, products!$A$1:$A$49, 0), MATCH(orders!I$1, products!$A$1:$G$1, 0))</f>
        <v>Lib</v>
      </c>
      <c r="J507" t="str">
        <f>INDEX(products!$A$1:$G$49, MATCH(orders!$D507, products!$A$1:$A$49, 0), MATCH(orders!J$1, products!$A$1:$G$1, 0))</f>
        <v>M</v>
      </c>
      <c r="K507" s="5">
        <f>INDEX(products!$A$1:$G$49, MATCH(orders!$D507, products!$A$1:$A$49, 0), MATCH(orders!K$1, products!$A$1:$G$1, 0))</f>
        <v>0.2</v>
      </c>
      <c r="L507" s="6">
        <f>INDEX(products!$A$1:$G$49, MATCH(orders!$D507, products!$A$1:$A$49, 0), MATCH(orders!L$1, products!$A$1:$G$1, 0))</f>
        <v>4.3650000000000002</v>
      </c>
      <c r="M507" s="6">
        <f t="shared" si="22"/>
        <v>26.19</v>
      </c>
      <c r="N507" t="str">
        <f t="shared" si="23"/>
        <v>Liberica</v>
      </c>
      <c r="O507" t="str">
        <f t="shared" si="21"/>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_xlfn.XLOOKUP(C508,customers!$A$2:$A$1001,customers!$B$2:$B$1001,,0)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 MATCH(orders!$D508, products!$A$1:$A$49, 0), MATCH(orders!I$1, products!$A$1:$G$1, 0))</f>
        <v>Ara</v>
      </c>
      <c r="J508" t="str">
        <f>INDEX(products!$A$1:$G$49, MATCH(orders!$D508, products!$A$1:$A$49, 0), MATCH(orders!J$1, products!$A$1:$G$1, 0))</f>
        <v>L</v>
      </c>
      <c r="K508" s="5">
        <f>INDEX(products!$A$1:$G$49, MATCH(orders!$D508, products!$A$1:$A$49, 0), MATCH(orders!K$1, products!$A$1:$G$1, 0))</f>
        <v>1</v>
      </c>
      <c r="L508" s="6">
        <f>INDEX(products!$A$1:$G$49, MATCH(orders!$D508, products!$A$1:$A$49, 0), MATCH(orders!L$1, products!$A$1:$G$1, 0))</f>
        <v>12.95</v>
      </c>
      <c r="M508" s="6">
        <f t="shared" si="22"/>
        <v>25.9</v>
      </c>
      <c r="N508" t="str">
        <f t="shared" si="23"/>
        <v>Arabica</v>
      </c>
      <c r="O508" t="str">
        <f t="shared" si="21"/>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_xlfn.XLOOKUP(C509,customers!$A$2:$A$1001,customers!$B$2:$B$1001,,0)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 MATCH(orders!$D509, products!$A$1:$A$49, 0), MATCH(orders!I$1, products!$A$1:$G$1, 0))</f>
        <v>Ara</v>
      </c>
      <c r="J509" t="str">
        <f>INDEX(products!$A$1:$G$49, MATCH(orders!$D509, products!$A$1:$A$49, 0), MATCH(orders!J$1, products!$A$1:$G$1, 0))</f>
        <v>L</v>
      </c>
      <c r="K509" s="5">
        <f>INDEX(products!$A$1:$G$49, MATCH(orders!$D509, products!$A$1:$A$49, 0), MATCH(orders!K$1, products!$A$1:$G$1, 0))</f>
        <v>2.5</v>
      </c>
      <c r="L509" s="6">
        <f>INDEX(products!$A$1:$G$49, MATCH(orders!$D509, products!$A$1:$A$49, 0), MATCH(orders!L$1, products!$A$1:$G$1, 0))</f>
        <v>29.784999999999997</v>
      </c>
      <c r="M509" s="6">
        <f t="shared" si="22"/>
        <v>89.35499999999999</v>
      </c>
      <c r="N509" t="str">
        <f t="shared" si="23"/>
        <v>Arabica</v>
      </c>
      <c r="O509" t="str">
        <f t="shared" si="21"/>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_xlfn.XLOOKUP(C510,customers!$A$2:$A$1001,customers!$B$2:$B$1001,,0)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 MATCH(orders!$D510, products!$A$1:$A$49, 0), MATCH(orders!I$1, products!$A$1:$G$1, 0))</f>
        <v>Lib</v>
      </c>
      <c r="J510" t="str">
        <f>INDEX(products!$A$1:$G$49, MATCH(orders!$D510, products!$A$1:$A$49, 0), MATCH(orders!J$1, products!$A$1:$G$1, 0))</f>
        <v>D</v>
      </c>
      <c r="K510" s="5">
        <f>INDEX(products!$A$1:$G$49, MATCH(orders!$D510, products!$A$1:$A$49, 0), MATCH(orders!K$1, products!$A$1:$G$1, 0))</f>
        <v>0.5</v>
      </c>
      <c r="L510" s="6">
        <f>INDEX(products!$A$1:$G$49, MATCH(orders!$D510, products!$A$1:$A$49, 0), MATCH(orders!L$1, products!$A$1:$G$1, 0))</f>
        <v>7.77</v>
      </c>
      <c r="M510" s="6">
        <f t="shared" si="22"/>
        <v>46.62</v>
      </c>
      <c r="N510" t="str">
        <f t="shared" si="23"/>
        <v>Liberica</v>
      </c>
      <c r="O510" t="str">
        <f t="shared" si="21"/>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_xlfn.XLOOKUP(C511,customers!$A$2:$A$1001,customers!$B$2:$B$1001,,0)</f>
        <v>Marja Urion</v>
      </c>
      <c r="G511" s="2" t="str">
        <f>IF(_xlfn.XLOOKUP(C511,customers!$A$1:$A$1001,customers!$C$1:$C$1001,,0)=0,"",_xlfn.XLOOKUP(C511,customers!$A$1:$A$1001,customers!$C$1:$C$1001,,0))</f>
        <v>murione5@alexa.com</v>
      </c>
      <c r="H511" s="2" t="str">
        <f>_xlfn.XLOOKUP(C511,customers!$A$1:$A$1001,customers!$G$1:$G$1001,,0)</f>
        <v>Ireland</v>
      </c>
      <c r="I511" t="str">
        <f>INDEX(products!$A$1:$G$49, MATCH(orders!$D511, products!$A$1:$A$49, 0), MATCH(orders!I$1, products!$A$1:$G$1, 0))</f>
        <v>Ara</v>
      </c>
      <c r="J511" t="str">
        <f>INDEX(products!$A$1:$G$49, MATCH(orders!$D511, products!$A$1:$A$49, 0), MATCH(orders!J$1, products!$A$1:$G$1, 0))</f>
        <v>D</v>
      </c>
      <c r="K511" s="5">
        <f>INDEX(products!$A$1:$G$49, MATCH(orders!$D511, products!$A$1:$A$49, 0), MATCH(orders!K$1, products!$A$1:$G$1, 0))</f>
        <v>1</v>
      </c>
      <c r="L511" s="6">
        <f>INDEX(products!$A$1:$G$49, MATCH(orders!$D511, products!$A$1:$A$49, 0), MATCH(orders!L$1, products!$A$1:$G$1, 0))</f>
        <v>9.9499999999999993</v>
      </c>
      <c r="M511" s="6">
        <f t="shared" si="22"/>
        <v>29.849999999999998</v>
      </c>
      <c r="N511" t="str">
        <f t="shared" si="23"/>
        <v>Arabica</v>
      </c>
      <c r="O511" t="str">
        <f t="shared" si="21"/>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_xlfn.XLOOKUP(C512,customers!$A$2:$A$1001,customers!$B$2:$B$1001,,0)</f>
        <v>Camellia Kid</v>
      </c>
      <c r="G512" s="2" t="str">
        <f>IF(_xlfn.XLOOKUP(C512,customers!$A$1:$A$1001,customers!$C$1:$C$1001,,0)=0,"",_xlfn.XLOOKUP(C512,customers!$A$1:$A$1001,customers!$C$1:$C$1001,,0))</f>
        <v>ckide6@narod.ru</v>
      </c>
      <c r="H512" s="2" t="str">
        <f>_xlfn.XLOOKUP(C512,customers!$A$1:$A$1001,customers!$G$1:$G$1001,,0)</f>
        <v>Ireland</v>
      </c>
      <c r="I512" t="str">
        <f>INDEX(products!$A$1:$G$49, MATCH(orders!$D512, products!$A$1:$A$49, 0), MATCH(orders!I$1, products!$A$1:$G$1, 0))</f>
        <v>Rob</v>
      </c>
      <c r="J512" t="str">
        <f>INDEX(products!$A$1:$G$49, MATCH(orders!$D512, products!$A$1:$A$49, 0), MATCH(orders!J$1, products!$A$1:$G$1, 0))</f>
        <v>L</v>
      </c>
      <c r="K512" s="5">
        <f>INDEX(products!$A$1:$G$49, MATCH(orders!$D512, products!$A$1:$A$49, 0), MATCH(orders!K$1, products!$A$1:$G$1, 0))</f>
        <v>0.2</v>
      </c>
      <c r="L512" s="6">
        <f>INDEX(products!$A$1:$G$49, MATCH(orders!$D512, products!$A$1:$A$49, 0), MATCH(orders!L$1, products!$A$1:$G$1, 0))</f>
        <v>3.5849999999999995</v>
      </c>
      <c r="M512" s="6">
        <f t="shared" si="22"/>
        <v>10.754999999999999</v>
      </c>
      <c r="N512" t="str">
        <f t="shared" si="23"/>
        <v>Robusta</v>
      </c>
      <c r="O512" t="str">
        <f t="shared" si="21"/>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_xlfn.XLOOKUP(C513,customers!$A$2:$A$1001,customers!$B$2:$B$1001,,0)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 MATCH(orders!$D513, products!$A$1:$A$49, 0), MATCH(orders!I$1, products!$A$1:$G$1, 0))</f>
        <v>Ara</v>
      </c>
      <c r="J513" t="str">
        <f>INDEX(products!$A$1:$G$49, MATCH(orders!$D513, products!$A$1:$A$49, 0), MATCH(orders!J$1, products!$A$1:$G$1, 0))</f>
        <v>M</v>
      </c>
      <c r="K513" s="5">
        <f>INDEX(products!$A$1:$G$49, MATCH(orders!$D513, products!$A$1:$A$49, 0), MATCH(orders!K$1, products!$A$1:$G$1, 0))</f>
        <v>0.2</v>
      </c>
      <c r="L513" s="6">
        <f>INDEX(products!$A$1:$G$49, MATCH(orders!$D513, products!$A$1:$A$49, 0), MATCH(orders!L$1, products!$A$1:$G$1, 0))</f>
        <v>3.375</v>
      </c>
      <c r="M513" s="6">
        <f t="shared" si="22"/>
        <v>13.5</v>
      </c>
      <c r="N513" t="str">
        <f t="shared" si="23"/>
        <v>Arabica</v>
      </c>
      <c r="O513" t="str">
        <f t="shared" si="21"/>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_xlfn.XLOOKUP(C514,customers!$A$2:$A$1001,customers!$B$2:$B$1001,,0)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 MATCH(orders!$D514, products!$A$1:$A$49, 0), MATCH(orders!I$1, products!$A$1:$G$1, 0))</f>
        <v>Lib</v>
      </c>
      <c r="J514" t="str">
        <f>INDEX(products!$A$1:$G$49, MATCH(orders!$D514, products!$A$1:$A$49, 0), MATCH(orders!J$1, products!$A$1:$G$1, 0))</f>
        <v>L</v>
      </c>
      <c r="K514" s="5">
        <f>INDEX(products!$A$1:$G$49, MATCH(orders!$D514, products!$A$1:$A$49, 0), MATCH(orders!K$1, products!$A$1:$G$1, 0))</f>
        <v>1</v>
      </c>
      <c r="L514" s="6">
        <f>INDEX(products!$A$1:$G$49, MATCH(orders!$D514, products!$A$1:$A$49, 0), MATCH(orders!L$1, products!$A$1:$G$1, 0))</f>
        <v>15.85</v>
      </c>
      <c r="M514" s="6">
        <f t="shared" si="22"/>
        <v>47.55</v>
      </c>
      <c r="N514" t="str">
        <f t="shared" si="23"/>
        <v>Liberica</v>
      </c>
      <c r="O514" t="str">
        <f t="shared" ref="O514:O577" si="24">IF(J514="M","Medium",IF(J514="l","Light",IF(J514="d","Dark","")))</f>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_xlfn.XLOOKUP(C515,customers!$A$2:$A$1001,customers!$B$2:$B$1001,,0)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 MATCH(orders!$D515, products!$A$1:$A$49, 0), MATCH(orders!I$1, products!$A$1:$G$1, 0))</f>
        <v>Lib</v>
      </c>
      <c r="J515" t="str">
        <f>INDEX(products!$A$1:$G$49, MATCH(orders!$D515, products!$A$1:$A$49, 0), MATCH(orders!J$1, products!$A$1:$G$1, 0))</f>
        <v>L</v>
      </c>
      <c r="K515" s="5">
        <f>INDEX(products!$A$1:$G$49, MATCH(orders!$D515, products!$A$1:$A$49, 0), MATCH(orders!K$1, products!$A$1:$G$1, 0))</f>
        <v>1</v>
      </c>
      <c r="L515" s="6">
        <f>INDEX(products!$A$1:$G$49, MATCH(orders!$D515, products!$A$1:$A$49, 0), MATCH(orders!L$1, products!$A$1:$G$1, 0))</f>
        <v>15.85</v>
      </c>
      <c r="M515" s="6">
        <f t="shared" ref="M515:M578" si="25">L515*E515</f>
        <v>79.25</v>
      </c>
      <c r="N515" t="str">
        <f t="shared" ref="N515:N578" si="26">IF(I515="Rob","Robusta",IF(I515="Exc","Excelsa",IF(I515="Ara","Arabica",IF(I515="lib","Liberica",""))))</f>
        <v>Liberica</v>
      </c>
      <c r="O515" t="str">
        <f t="shared" si="24"/>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_xlfn.XLOOKUP(C516,customers!$A$2:$A$1001,customers!$B$2:$B$1001,,0)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 MATCH(orders!$D516, products!$A$1:$A$49, 0), MATCH(orders!I$1, products!$A$1:$G$1, 0))</f>
        <v>Lib</v>
      </c>
      <c r="J516" t="str">
        <f>INDEX(products!$A$1:$G$49, MATCH(orders!$D516, products!$A$1:$A$49, 0), MATCH(orders!J$1, products!$A$1:$G$1, 0))</f>
        <v>M</v>
      </c>
      <c r="K516" s="5">
        <f>INDEX(products!$A$1:$G$49, MATCH(orders!$D516, products!$A$1:$A$49, 0), MATCH(orders!K$1, products!$A$1:$G$1, 0))</f>
        <v>0.2</v>
      </c>
      <c r="L516" s="6">
        <f>INDEX(products!$A$1:$G$49, MATCH(orders!$D516, products!$A$1:$A$49, 0), MATCH(orders!L$1, products!$A$1:$G$1, 0))</f>
        <v>4.3650000000000002</v>
      </c>
      <c r="M516" s="6">
        <f t="shared" si="25"/>
        <v>26.19</v>
      </c>
      <c r="N516" t="str">
        <f t="shared" si="26"/>
        <v>Liberica</v>
      </c>
      <c r="O516" t="str">
        <f t="shared" si="24"/>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_xlfn.XLOOKUP(C517,customers!$A$2:$A$1001,customers!$B$2:$B$1001,,0)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 MATCH(orders!$D517, products!$A$1:$A$49, 0), MATCH(orders!I$1, products!$A$1:$G$1, 0))</f>
        <v>Rob</v>
      </c>
      <c r="J517" t="str">
        <f>INDEX(products!$A$1:$G$49, MATCH(orders!$D517, products!$A$1:$A$49, 0), MATCH(orders!J$1, products!$A$1:$G$1, 0))</f>
        <v>L</v>
      </c>
      <c r="K517" s="5">
        <f>INDEX(products!$A$1:$G$49, MATCH(orders!$D517, products!$A$1:$A$49, 0), MATCH(orders!K$1, products!$A$1:$G$1, 0))</f>
        <v>0.5</v>
      </c>
      <c r="L517" s="6">
        <f>INDEX(products!$A$1:$G$49, MATCH(orders!$D517, products!$A$1:$A$49, 0), MATCH(orders!L$1, products!$A$1:$G$1, 0))</f>
        <v>7.169999999999999</v>
      </c>
      <c r="M517" s="6">
        <f t="shared" si="25"/>
        <v>21.509999999999998</v>
      </c>
      <c r="N517" t="str">
        <f t="shared" si="26"/>
        <v>Robusta</v>
      </c>
      <c r="O517" t="str">
        <f t="shared" si="24"/>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_xlfn.XLOOKUP(C518,customers!$A$2:$A$1001,customers!$B$2:$B$1001,,0)</f>
        <v>Cindra Burling</v>
      </c>
      <c r="G518" s="2" t="str">
        <f>IF(_xlfn.XLOOKUP(C518,customers!$A$1:$A$1001,customers!$C$1:$C$1001,,0)=0,"",_xlfn.XLOOKUP(C518,customers!$A$1:$A$1001,customers!$C$1:$C$1001,,0))</f>
        <v/>
      </c>
      <c r="H518" s="2" t="str">
        <f>_xlfn.XLOOKUP(C518,customers!$A$1:$A$1001,customers!$G$1:$G$1001,,0)</f>
        <v>United States</v>
      </c>
      <c r="I518" t="str">
        <f>INDEX(products!$A$1:$G$49, MATCH(orders!$D518, products!$A$1:$A$49, 0), MATCH(orders!I$1, products!$A$1:$G$1, 0))</f>
        <v>Rob</v>
      </c>
      <c r="J518" t="str">
        <f>INDEX(products!$A$1:$G$49, MATCH(orders!$D518, products!$A$1:$A$49, 0), MATCH(orders!J$1, products!$A$1:$G$1, 0))</f>
        <v>D</v>
      </c>
      <c r="K518" s="5">
        <f>INDEX(products!$A$1:$G$49, MATCH(orders!$D518, products!$A$1:$A$49, 0), MATCH(orders!K$1, products!$A$1:$G$1, 0))</f>
        <v>2.5</v>
      </c>
      <c r="L518" s="6">
        <f>INDEX(products!$A$1:$G$49, MATCH(orders!$D518, products!$A$1:$A$49, 0), MATCH(orders!L$1, products!$A$1:$G$1, 0))</f>
        <v>20.584999999999997</v>
      </c>
      <c r="M518" s="6">
        <f t="shared" si="25"/>
        <v>102.92499999999998</v>
      </c>
      <c r="N518" t="str">
        <f t="shared" si="26"/>
        <v>Robusta</v>
      </c>
      <c r="O518" t="str">
        <f t="shared" si="24"/>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_xlfn.XLOOKUP(C519,customers!$A$2:$A$1001,customers!$B$2:$B$1001,,0)</f>
        <v>Channa Belamy</v>
      </c>
      <c r="G519" s="2" t="str">
        <f>IF(_xlfn.XLOOKUP(C519,customers!$A$1:$A$1001,customers!$C$1:$C$1001,,0)=0,"",_xlfn.XLOOKUP(C519,customers!$A$1:$A$1001,customers!$C$1:$C$1001,,0))</f>
        <v/>
      </c>
      <c r="H519" s="2" t="str">
        <f>_xlfn.XLOOKUP(C519,customers!$A$1:$A$1001,customers!$G$1:$G$1001,,0)</f>
        <v>United States</v>
      </c>
      <c r="I519" t="str">
        <f>INDEX(products!$A$1:$G$49, MATCH(orders!$D519, products!$A$1:$A$49, 0), MATCH(orders!I$1, products!$A$1:$G$1, 0))</f>
        <v>Lib</v>
      </c>
      <c r="J519" t="str">
        <f>INDEX(products!$A$1:$G$49, MATCH(orders!$D519, products!$A$1:$A$49, 0), MATCH(orders!J$1, products!$A$1:$G$1, 0))</f>
        <v>D</v>
      </c>
      <c r="K519" s="5">
        <f>INDEX(products!$A$1:$G$49, MATCH(orders!$D519, products!$A$1:$A$49, 0), MATCH(orders!K$1, products!$A$1:$G$1, 0))</f>
        <v>0.2</v>
      </c>
      <c r="L519" s="6">
        <f>INDEX(products!$A$1:$G$49, MATCH(orders!$D519, products!$A$1:$A$49, 0), MATCH(orders!L$1, products!$A$1:$G$1, 0))</f>
        <v>3.8849999999999998</v>
      </c>
      <c r="M519" s="6">
        <f t="shared" si="25"/>
        <v>7.77</v>
      </c>
      <c r="N519" t="str">
        <f t="shared" si="26"/>
        <v>Liberica</v>
      </c>
      <c r="O519" t="str">
        <f t="shared" si="24"/>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_xlfn.XLOOKUP(C520,customers!$A$2:$A$1001,customers!$B$2:$B$1001,,0)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 MATCH(orders!$D520, products!$A$1:$A$49, 0), MATCH(orders!I$1, products!$A$1:$G$1, 0))</f>
        <v>Exc</v>
      </c>
      <c r="J520" t="str">
        <f>INDEX(products!$A$1:$G$49, MATCH(orders!$D520, products!$A$1:$A$49, 0), MATCH(orders!J$1, products!$A$1:$G$1, 0))</f>
        <v>D</v>
      </c>
      <c r="K520" s="5">
        <f>INDEX(products!$A$1:$G$49, MATCH(orders!$D520, products!$A$1:$A$49, 0), MATCH(orders!K$1, products!$A$1:$G$1, 0))</f>
        <v>2.5</v>
      </c>
      <c r="L520" s="6">
        <f>INDEX(products!$A$1:$G$49, MATCH(orders!$D520, products!$A$1:$A$49, 0), MATCH(orders!L$1, products!$A$1:$G$1, 0))</f>
        <v>27.945</v>
      </c>
      <c r="M520" s="6">
        <f t="shared" si="25"/>
        <v>139.72499999999999</v>
      </c>
      <c r="N520" t="str">
        <f t="shared" si="26"/>
        <v>Excelsa</v>
      </c>
      <c r="O520" t="str">
        <f t="shared" si="24"/>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_xlfn.XLOOKUP(C521,customers!$A$2:$A$1001,customers!$B$2:$B$1001,,0)</f>
        <v>Marja Urion</v>
      </c>
      <c r="G521" s="2" t="str">
        <f>IF(_xlfn.XLOOKUP(C521,customers!$A$1:$A$1001,customers!$C$1:$C$1001,,0)=0,"",_xlfn.XLOOKUP(C521,customers!$A$1:$A$1001,customers!$C$1:$C$1001,,0))</f>
        <v>murione5@alexa.com</v>
      </c>
      <c r="H521" s="2" t="str">
        <f>_xlfn.XLOOKUP(C521,customers!$A$1:$A$1001,customers!$G$1:$G$1001,,0)</f>
        <v>Ireland</v>
      </c>
      <c r="I521" t="str">
        <f>INDEX(products!$A$1:$G$49, MATCH(orders!$D521, products!$A$1:$A$49, 0), MATCH(orders!I$1, products!$A$1:$G$1, 0))</f>
        <v>Ara</v>
      </c>
      <c r="J521" t="str">
        <f>INDEX(products!$A$1:$G$49, MATCH(orders!$D521, products!$A$1:$A$49, 0), MATCH(orders!J$1, products!$A$1:$G$1, 0))</f>
        <v>D</v>
      </c>
      <c r="K521" s="5">
        <f>INDEX(products!$A$1:$G$49, MATCH(orders!$D521, products!$A$1:$A$49, 0), MATCH(orders!K$1, products!$A$1:$G$1, 0))</f>
        <v>0.5</v>
      </c>
      <c r="L521" s="6">
        <f>INDEX(products!$A$1:$G$49, MATCH(orders!$D521, products!$A$1:$A$49, 0), MATCH(orders!L$1, products!$A$1:$G$1, 0))</f>
        <v>5.97</v>
      </c>
      <c r="M521" s="6">
        <f t="shared" si="25"/>
        <v>11.94</v>
      </c>
      <c r="N521" t="str">
        <f t="shared" si="26"/>
        <v>Arabica</v>
      </c>
      <c r="O521" t="str">
        <f t="shared" si="24"/>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_xlfn.XLOOKUP(C522,customers!$A$2:$A$1001,customers!$B$2:$B$1001,,0)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 MATCH(orders!$D522, products!$A$1:$A$49, 0), MATCH(orders!I$1, products!$A$1:$G$1, 0))</f>
        <v>Lib</v>
      </c>
      <c r="J522" t="str">
        <f>INDEX(products!$A$1:$G$49, MATCH(orders!$D522, products!$A$1:$A$49, 0), MATCH(orders!J$1, products!$A$1:$G$1, 0))</f>
        <v>D</v>
      </c>
      <c r="K522" s="5">
        <f>INDEX(products!$A$1:$G$49, MATCH(orders!$D522, products!$A$1:$A$49, 0), MATCH(orders!K$1, products!$A$1:$G$1, 0))</f>
        <v>0.2</v>
      </c>
      <c r="L522" s="6">
        <f>INDEX(products!$A$1:$G$49, MATCH(orders!$D522, products!$A$1:$A$49, 0), MATCH(orders!L$1, products!$A$1:$G$1, 0))</f>
        <v>3.8849999999999998</v>
      </c>
      <c r="M522" s="6">
        <f t="shared" si="25"/>
        <v>3.8849999999999998</v>
      </c>
      <c r="N522" t="str">
        <f t="shared" si="26"/>
        <v>Liberica</v>
      </c>
      <c r="O522" t="str">
        <f t="shared" si="24"/>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_xlfn.XLOOKUP(C523,customers!$A$2:$A$1001,customers!$B$2:$B$1001,,0)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 MATCH(orders!$D523, products!$A$1:$A$49, 0), MATCH(orders!I$1, products!$A$1:$G$1, 0))</f>
        <v>Rob</v>
      </c>
      <c r="J523" t="str">
        <f>INDEX(products!$A$1:$G$49, MATCH(orders!$D523, products!$A$1:$A$49, 0), MATCH(orders!J$1, products!$A$1:$G$1, 0))</f>
        <v>M</v>
      </c>
      <c r="K523" s="5">
        <f>INDEX(products!$A$1:$G$49, MATCH(orders!$D523, products!$A$1:$A$49, 0), MATCH(orders!K$1, products!$A$1:$G$1, 0))</f>
        <v>1</v>
      </c>
      <c r="L523" s="6">
        <f>INDEX(products!$A$1:$G$49, MATCH(orders!$D523, products!$A$1:$A$49, 0), MATCH(orders!L$1, products!$A$1:$G$1, 0))</f>
        <v>9.9499999999999993</v>
      </c>
      <c r="M523" s="6">
        <f t="shared" si="25"/>
        <v>39.799999999999997</v>
      </c>
      <c r="N523" t="str">
        <f t="shared" si="26"/>
        <v>Robusta</v>
      </c>
      <c r="O523" t="str">
        <f t="shared" si="24"/>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_xlfn.XLOOKUP(C524,customers!$A$2:$A$1001,customers!$B$2:$B$1001,,0)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 MATCH(orders!$D524, products!$A$1:$A$49, 0), MATCH(orders!I$1, products!$A$1:$G$1, 0))</f>
        <v>Rob</v>
      </c>
      <c r="J524" t="str">
        <f>INDEX(products!$A$1:$G$49, MATCH(orders!$D524, products!$A$1:$A$49, 0), MATCH(orders!J$1, products!$A$1:$G$1, 0))</f>
        <v>M</v>
      </c>
      <c r="K524" s="5">
        <f>INDEX(products!$A$1:$G$49, MATCH(orders!$D524, products!$A$1:$A$49, 0), MATCH(orders!K$1, products!$A$1:$G$1, 0))</f>
        <v>0.5</v>
      </c>
      <c r="L524" s="6">
        <f>INDEX(products!$A$1:$G$49, MATCH(orders!$D524, products!$A$1:$A$49, 0), MATCH(orders!L$1, products!$A$1:$G$1, 0))</f>
        <v>5.97</v>
      </c>
      <c r="M524" s="6">
        <f t="shared" si="25"/>
        <v>29.849999999999998</v>
      </c>
      <c r="N524" t="str">
        <f t="shared" si="26"/>
        <v>Robusta</v>
      </c>
      <c r="O524" t="str">
        <f t="shared" si="24"/>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_xlfn.XLOOKUP(C525,customers!$A$2:$A$1001,customers!$B$2:$B$1001,,0)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 MATCH(orders!$D525, products!$A$1:$A$49, 0), MATCH(orders!I$1, products!$A$1:$G$1, 0))</f>
        <v>Lib</v>
      </c>
      <c r="J525" t="str">
        <f>INDEX(products!$A$1:$G$49, MATCH(orders!$D525, products!$A$1:$A$49, 0), MATCH(orders!J$1, products!$A$1:$G$1, 0))</f>
        <v>D</v>
      </c>
      <c r="K525" s="5">
        <f>INDEX(products!$A$1:$G$49, MATCH(orders!$D525, products!$A$1:$A$49, 0), MATCH(orders!K$1, products!$A$1:$G$1, 0))</f>
        <v>2.5</v>
      </c>
      <c r="L525" s="6">
        <f>INDEX(products!$A$1:$G$49, MATCH(orders!$D525, products!$A$1:$A$49, 0), MATCH(orders!L$1, products!$A$1:$G$1, 0))</f>
        <v>29.784999999999997</v>
      </c>
      <c r="M525" s="6">
        <f t="shared" si="25"/>
        <v>29.784999999999997</v>
      </c>
      <c r="N525" t="str">
        <f t="shared" si="26"/>
        <v>Liberica</v>
      </c>
      <c r="O525" t="str">
        <f t="shared" si="24"/>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_xlfn.XLOOKUP(C526,customers!$A$2:$A$1001,customers!$B$2:$B$1001,,0)</f>
        <v>Erny Stenyng</v>
      </c>
      <c r="G526" s="2" t="str">
        <f>IF(_xlfn.XLOOKUP(C526,customers!$A$1:$A$1001,customers!$C$1:$C$1001,,0)=0,"",_xlfn.XLOOKUP(C526,customers!$A$1:$A$1001,customers!$C$1:$C$1001,,0))</f>
        <v/>
      </c>
      <c r="H526" s="2" t="str">
        <f>_xlfn.XLOOKUP(C526,customers!$A$1:$A$1001,customers!$G$1:$G$1001,,0)</f>
        <v>United States</v>
      </c>
      <c r="I526" t="str">
        <f>INDEX(products!$A$1:$G$49, MATCH(orders!$D526, products!$A$1:$A$49, 0), MATCH(orders!I$1, products!$A$1:$G$1, 0))</f>
        <v>Lib</v>
      </c>
      <c r="J526" t="str">
        <f>INDEX(products!$A$1:$G$49, MATCH(orders!$D526, products!$A$1:$A$49, 0), MATCH(orders!J$1, products!$A$1:$G$1, 0))</f>
        <v>L</v>
      </c>
      <c r="K526" s="5">
        <f>INDEX(products!$A$1:$G$49, MATCH(orders!$D526, products!$A$1:$A$49, 0), MATCH(orders!K$1, products!$A$1:$G$1, 0))</f>
        <v>2.5</v>
      </c>
      <c r="L526" s="6">
        <f>INDEX(products!$A$1:$G$49, MATCH(orders!$D526, products!$A$1:$A$49, 0), MATCH(orders!L$1, products!$A$1:$G$1, 0))</f>
        <v>36.454999999999998</v>
      </c>
      <c r="M526" s="6">
        <f t="shared" si="25"/>
        <v>72.91</v>
      </c>
      <c r="N526" t="str">
        <f t="shared" si="26"/>
        <v>Liberica</v>
      </c>
      <c r="O526" t="str">
        <f t="shared" si="24"/>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_xlfn.XLOOKUP(C527,customers!$A$2:$A$1001,customers!$B$2:$B$1001,,0)</f>
        <v>Edin Yantsurev</v>
      </c>
      <c r="G527" s="2" t="str">
        <f>IF(_xlfn.XLOOKUP(C527,customers!$A$1:$A$1001,customers!$C$1:$C$1001,,0)=0,"",_xlfn.XLOOKUP(C527,customers!$A$1:$A$1001,customers!$C$1:$C$1001,,0))</f>
        <v/>
      </c>
      <c r="H527" s="2" t="str">
        <f>_xlfn.XLOOKUP(C527,customers!$A$1:$A$1001,customers!$G$1:$G$1001,,0)</f>
        <v>United States</v>
      </c>
      <c r="I527" t="str">
        <f>INDEX(products!$A$1:$G$49, MATCH(orders!$D527, products!$A$1:$A$49, 0), MATCH(orders!I$1, products!$A$1:$G$1, 0))</f>
        <v>Rob</v>
      </c>
      <c r="J527" t="str">
        <f>INDEX(products!$A$1:$G$49, MATCH(orders!$D527, products!$A$1:$A$49, 0), MATCH(orders!J$1, products!$A$1:$G$1, 0))</f>
        <v>D</v>
      </c>
      <c r="K527" s="5">
        <f>INDEX(products!$A$1:$G$49, MATCH(orders!$D527, products!$A$1:$A$49, 0), MATCH(orders!K$1, products!$A$1:$G$1, 0))</f>
        <v>0.2</v>
      </c>
      <c r="L527" s="6">
        <f>INDEX(products!$A$1:$G$49, MATCH(orders!$D527, products!$A$1:$A$49, 0), MATCH(orders!L$1, products!$A$1:$G$1, 0))</f>
        <v>2.6849999999999996</v>
      </c>
      <c r="M527" s="6">
        <f t="shared" si="25"/>
        <v>13.424999999999997</v>
      </c>
      <c r="N527" t="str">
        <f t="shared" si="26"/>
        <v>Robusta</v>
      </c>
      <c r="O527" t="str">
        <f t="shared" si="24"/>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_xlfn.XLOOKUP(C528,customers!$A$2:$A$1001,customers!$B$2:$B$1001,,0)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 MATCH(orders!$D528, products!$A$1:$A$49, 0), MATCH(orders!I$1, products!$A$1:$G$1, 0))</f>
        <v>Exc</v>
      </c>
      <c r="J528" t="str">
        <f>INDEX(products!$A$1:$G$49, MATCH(orders!$D528, products!$A$1:$A$49, 0), MATCH(orders!J$1, products!$A$1:$G$1, 0))</f>
        <v>M</v>
      </c>
      <c r="K528" s="5">
        <f>INDEX(products!$A$1:$G$49, MATCH(orders!$D528, products!$A$1:$A$49, 0), MATCH(orders!K$1, products!$A$1:$G$1, 0))</f>
        <v>2.5</v>
      </c>
      <c r="L528" s="6">
        <f>INDEX(products!$A$1:$G$49, MATCH(orders!$D528, products!$A$1:$A$49, 0), MATCH(orders!L$1, products!$A$1:$G$1, 0))</f>
        <v>31.624999999999996</v>
      </c>
      <c r="M528" s="6">
        <f t="shared" si="25"/>
        <v>126.49999999999999</v>
      </c>
      <c r="N528" t="str">
        <f t="shared" si="26"/>
        <v>Excelsa</v>
      </c>
      <c r="O528" t="str">
        <f t="shared" si="24"/>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_xlfn.XLOOKUP(C529,customers!$A$2:$A$1001,customers!$B$2:$B$1001,,0)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 MATCH(orders!$D529, products!$A$1:$A$49, 0), MATCH(orders!I$1, products!$A$1:$G$1, 0))</f>
        <v>Exc</v>
      </c>
      <c r="J529" t="str">
        <f>INDEX(products!$A$1:$G$49, MATCH(orders!$D529, products!$A$1:$A$49, 0), MATCH(orders!J$1, products!$A$1:$G$1, 0))</f>
        <v>M</v>
      </c>
      <c r="K529" s="5">
        <f>INDEX(products!$A$1:$G$49, MATCH(orders!$D529, products!$A$1:$A$49, 0), MATCH(orders!K$1, products!$A$1:$G$1, 0))</f>
        <v>0.5</v>
      </c>
      <c r="L529" s="6">
        <f>INDEX(products!$A$1:$G$49, MATCH(orders!$D529, products!$A$1:$A$49, 0), MATCH(orders!L$1, products!$A$1:$G$1, 0))</f>
        <v>8.25</v>
      </c>
      <c r="M529" s="6">
        <f t="shared" si="25"/>
        <v>41.25</v>
      </c>
      <c r="N529" t="str">
        <f t="shared" si="26"/>
        <v>Excelsa</v>
      </c>
      <c r="O529" t="str">
        <f t="shared" si="24"/>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_xlfn.XLOOKUP(C530,customers!$A$2:$A$1001,customers!$B$2:$B$1001,,0)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 MATCH(orders!$D530, products!$A$1:$A$49, 0), MATCH(orders!I$1, products!$A$1:$G$1, 0))</f>
        <v>Exc</v>
      </c>
      <c r="J530" t="str">
        <f>INDEX(products!$A$1:$G$49, MATCH(orders!$D530, products!$A$1:$A$49, 0), MATCH(orders!J$1, products!$A$1:$G$1, 0))</f>
        <v>L</v>
      </c>
      <c r="K530" s="5">
        <f>INDEX(products!$A$1:$G$49, MATCH(orders!$D530, products!$A$1:$A$49, 0), MATCH(orders!K$1, products!$A$1:$G$1, 0))</f>
        <v>0.5</v>
      </c>
      <c r="L530" s="6">
        <f>INDEX(products!$A$1:$G$49, MATCH(orders!$D530, products!$A$1:$A$49, 0), MATCH(orders!L$1, products!$A$1:$G$1, 0))</f>
        <v>8.91</v>
      </c>
      <c r="M530" s="6">
        <f t="shared" si="25"/>
        <v>53.46</v>
      </c>
      <c r="N530" t="str">
        <f t="shared" si="26"/>
        <v>Excelsa</v>
      </c>
      <c r="O530" t="str">
        <f t="shared" si="24"/>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_xlfn.XLOOKUP(C531,customers!$A$2:$A$1001,customers!$B$2:$B$1001,,0)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 MATCH(orders!$D531, products!$A$1:$A$49, 0), MATCH(orders!I$1, products!$A$1:$G$1, 0))</f>
        <v>Rob</v>
      </c>
      <c r="J531" t="str">
        <f>INDEX(products!$A$1:$G$49, MATCH(orders!$D531, products!$A$1:$A$49, 0), MATCH(orders!J$1, products!$A$1:$G$1, 0))</f>
        <v>M</v>
      </c>
      <c r="K531" s="5">
        <f>INDEX(products!$A$1:$G$49, MATCH(orders!$D531, products!$A$1:$A$49, 0), MATCH(orders!K$1, products!$A$1:$G$1, 0))</f>
        <v>1</v>
      </c>
      <c r="L531" s="6">
        <f>INDEX(products!$A$1:$G$49, MATCH(orders!$D531, products!$A$1:$A$49, 0), MATCH(orders!L$1, products!$A$1:$G$1, 0))</f>
        <v>9.9499999999999993</v>
      </c>
      <c r="M531" s="6">
        <f t="shared" si="25"/>
        <v>59.699999999999996</v>
      </c>
      <c r="N531" t="str">
        <f t="shared" si="26"/>
        <v>Robusta</v>
      </c>
      <c r="O531" t="str">
        <f t="shared" si="24"/>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_xlfn.XLOOKUP(C532,customers!$A$2:$A$1001,customers!$B$2:$B$1001,,0)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 MATCH(orders!$D532, products!$A$1:$A$49, 0), MATCH(orders!I$1, products!$A$1:$G$1, 0))</f>
        <v>Rob</v>
      </c>
      <c r="J532" t="str">
        <f>INDEX(products!$A$1:$G$49, MATCH(orders!$D532, products!$A$1:$A$49, 0), MATCH(orders!J$1, products!$A$1:$G$1, 0))</f>
        <v>M</v>
      </c>
      <c r="K532" s="5">
        <f>INDEX(products!$A$1:$G$49, MATCH(orders!$D532, products!$A$1:$A$49, 0), MATCH(orders!K$1, products!$A$1:$G$1, 0))</f>
        <v>1</v>
      </c>
      <c r="L532" s="6">
        <f>INDEX(products!$A$1:$G$49, MATCH(orders!$D532, products!$A$1:$A$49, 0), MATCH(orders!L$1, products!$A$1:$G$1, 0))</f>
        <v>9.9499999999999993</v>
      </c>
      <c r="M532" s="6">
        <f t="shared" si="25"/>
        <v>59.699999999999996</v>
      </c>
      <c r="N532" t="str">
        <f t="shared" si="26"/>
        <v>Robusta</v>
      </c>
      <c r="O532" t="str">
        <f t="shared" si="24"/>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_xlfn.XLOOKUP(C533,customers!$A$2:$A$1001,customers!$B$2:$B$1001,,0)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 MATCH(orders!$D533, products!$A$1:$A$49, 0), MATCH(orders!I$1, products!$A$1:$G$1, 0))</f>
        <v>Rob</v>
      </c>
      <c r="J533" t="str">
        <f>INDEX(products!$A$1:$G$49, MATCH(orders!$D533, products!$A$1:$A$49, 0), MATCH(orders!J$1, products!$A$1:$G$1, 0))</f>
        <v>D</v>
      </c>
      <c r="K533" s="5">
        <f>INDEX(products!$A$1:$G$49, MATCH(orders!$D533, products!$A$1:$A$49, 0), MATCH(orders!K$1, products!$A$1:$G$1, 0))</f>
        <v>1</v>
      </c>
      <c r="L533" s="6">
        <f>INDEX(products!$A$1:$G$49, MATCH(orders!$D533, products!$A$1:$A$49, 0), MATCH(orders!L$1, products!$A$1:$G$1, 0))</f>
        <v>8.9499999999999993</v>
      </c>
      <c r="M533" s="6">
        <f t="shared" si="25"/>
        <v>44.75</v>
      </c>
      <c r="N533" t="str">
        <f t="shared" si="26"/>
        <v>Robusta</v>
      </c>
      <c r="O533" t="str">
        <f t="shared" si="24"/>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_xlfn.XLOOKUP(C534,customers!$A$2:$A$1001,customers!$B$2:$B$1001,,0)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 MATCH(orders!$D534, products!$A$1:$A$49, 0), MATCH(orders!I$1, products!$A$1:$G$1, 0))</f>
        <v>Exc</v>
      </c>
      <c r="J534" t="str">
        <f>INDEX(products!$A$1:$G$49, MATCH(orders!$D534, products!$A$1:$A$49, 0), MATCH(orders!J$1, products!$A$1:$G$1, 0))</f>
        <v>M</v>
      </c>
      <c r="K534" s="5">
        <f>INDEX(products!$A$1:$G$49, MATCH(orders!$D534, products!$A$1:$A$49, 0), MATCH(orders!K$1, products!$A$1:$G$1, 0))</f>
        <v>0.5</v>
      </c>
      <c r="L534" s="6">
        <f>INDEX(products!$A$1:$G$49, MATCH(orders!$D534, products!$A$1:$A$49, 0), MATCH(orders!L$1, products!$A$1:$G$1, 0))</f>
        <v>8.25</v>
      </c>
      <c r="M534" s="6">
        <f t="shared" si="25"/>
        <v>16.5</v>
      </c>
      <c r="N534" t="str">
        <f t="shared" si="26"/>
        <v>Excelsa</v>
      </c>
      <c r="O534" t="str">
        <f t="shared" si="24"/>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_xlfn.XLOOKUP(C535,customers!$A$2:$A$1001,customers!$B$2:$B$1001,,0)</f>
        <v>Rea Offell</v>
      </c>
      <c r="G535" s="2" t="str">
        <f>IF(_xlfn.XLOOKUP(C535,customers!$A$1:$A$1001,customers!$C$1:$C$1001,,0)=0,"",_xlfn.XLOOKUP(C535,customers!$A$1:$A$1001,customers!$C$1:$C$1001,,0))</f>
        <v/>
      </c>
      <c r="H535" s="2" t="str">
        <f>_xlfn.XLOOKUP(C535,customers!$A$1:$A$1001,customers!$G$1:$G$1001,,0)</f>
        <v>United States</v>
      </c>
      <c r="I535" t="str">
        <f>INDEX(products!$A$1:$G$49, MATCH(orders!$D535, products!$A$1:$A$49, 0), MATCH(orders!I$1, products!$A$1:$G$1, 0))</f>
        <v>Rob</v>
      </c>
      <c r="J535" t="str">
        <f>INDEX(products!$A$1:$G$49, MATCH(orders!$D535, products!$A$1:$A$49, 0), MATCH(orders!J$1, products!$A$1:$G$1, 0))</f>
        <v>D</v>
      </c>
      <c r="K535" s="5">
        <f>INDEX(products!$A$1:$G$49, MATCH(orders!$D535, products!$A$1:$A$49, 0), MATCH(orders!K$1, products!$A$1:$G$1, 0))</f>
        <v>0.5</v>
      </c>
      <c r="L535" s="6">
        <f>INDEX(products!$A$1:$G$49, MATCH(orders!$D535, products!$A$1:$A$49, 0), MATCH(orders!L$1, products!$A$1:$G$1, 0))</f>
        <v>5.3699999999999992</v>
      </c>
      <c r="M535" s="6">
        <f t="shared" si="25"/>
        <v>21.479999999999997</v>
      </c>
      <c r="N535" t="str">
        <f t="shared" si="26"/>
        <v>Robusta</v>
      </c>
      <c r="O535" t="str">
        <f t="shared" si="24"/>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_xlfn.XLOOKUP(C536,customers!$A$2:$A$1001,customers!$B$2:$B$1001,,0)</f>
        <v>Kris O'Cullen</v>
      </c>
      <c r="G536" s="2" t="str">
        <f>IF(_xlfn.XLOOKUP(C536,customers!$A$1:$A$1001,customers!$C$1:$C$1001,,0)=0,"",_xlfn.XLOOKUP(C536,customers!$A$1:$A$1001,customers!$C$1:$C$1001,,0))</f>
        <v>koculleneu@ca.gov</v>
      </c>
      <c r="H536" s="2" t="str">
        <f>_xlfn.XLOOKUP(C536,customers!$A$1:$A$1001,customers!$G$1:$G$1001,,0)</f>
        <v>Ireland</v>
      </c>
      <c r="I536" t="str">
        <f>INDEX(products!$A$1:$G$49, MATCH(orders!$D536, products!$A$1:$A$49, 0), MATCH(orders!I$1, products!$A$1:$G$1, 0))</f>
        <v>Rob</v>
      </c>
      <c r="J536" t="str">
        <f>INDEX(products!$A$1:$G$49, MATCH(orders!$D536, products!$A$1:$A$49, 0), MATCH(orders!J$1, products!$A$1:$G$1, 0))</f>
        <v>M</v>
      </c>
      <c r="K536" s="5">
        <f>INDEX(products!$A$1:$G$49, MATCH(orders!$D536, products!$A$1:$A$49, 0), MATCH(orders!K$1, products!$A$1:$G$1, 0))</f>
        <v>2.5</v>
      </c>
      <c r="L536" s="6">
        <f>INDEX(products!$A$1:$G$49, MATCH(orders!$D536, products!$A$1:$A$49, 0), MATCH(orders!L$1, products!$A$1:$G$1, 0))</f>
        <v>22.884999999999998</v>
      </c>
      <c r="M536" s="6">
        <f t="shared" si="25"/>
        <v>45.769999999999996</v>
      </c>
      <c r="N536" t="str">
        <f t="shared" si="26"/>
        <v>Robusta</v>
      </c>
      <c r="O536" t="str">
        <f t="shared" si="24"/>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_xlfn.XLOOKUP(C537,customers!$A$2:$A$1001,customers!$B$2:$B$1001,,0)</f>
        <v>Timoteo Glisane</v>
      </c>
      <c r="G537" s="2" t="str">
        <f>IF(_xlfn.XLOOKUP(C537,customers!$A$1:$A$1001,customers!$C$1:$C$1001,,0)=0,"",_xlfn.XLOOKUP(C537,customers!$A$1:$A$1001,customers!$C$1:$C$1001,,0))</f>
        <v/>
      </c>
      <c r="H537" s="2" t="str">
        <f>_xlfn.XLOOKUP(C537,customers!$A$1:$A$1001,customers!$G$1:$G$1001,,0)</f>
        <v>Ireland</v>
      </c>
      <c r="I537" t="str">
        <f>INDEX(products!$A$1:$G$49, MATCH(orders!$D537, products!$A$1:$A$49, 0), MATCH(orders!I$1, products!$A$1:$G$1, 0))</f>
        <v>Lib</v>
      </c>
      <c r="J537" t="str">
        <f>INDEX(products!$A$1:$G$49, MATCH(orders!$D537, products!$A$1:$A$49, 0), MATCH(orders!J$1, products!$A$1:$G$1, 0))</f>
        <v>L</v>
      </c>
      <c r="K537" s="5">
        <f>INDEX(products!$A$1:$G$49, MATCH(orders!$D537, products!$A$1:$A$49, 0), MATCH(orders!K$1, products!$A$1:$G$1, 0))</f>
        <v>0.2</v>
      </c>
      <c r="L537" s="6">
        <f>INDEX(products!$A$1:$G$49, MATCH(orders!$D537, products!$A$1:$A$49, 0), MATCH(orders!L$1, products!$A$1:$G$1, 0))</f>
        <v>4.7549999999999999</v>
      </c>
      <c r="M537" s="6">
        <f t="shared" si="25"/>
        <v>9.51</v>
      </c>
      <c r="N537" t="str">
        <f t="shared" si="26"/>
        <v>Liberica</v>
      </c>
      <c r="O537" t="str">
        <f t="shared" si="24"/>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_xlfn.XLOOKUP(C538,customers!$A$2:$A$1001,customers!$B$2:$B$1001,,0)</f>
        <v>Marja Urion</v>
      </c>
      <c r="G538" s="2" t="str">
        <f>IF(_xlfn.XLOOKUP(C538,customers!$A$1:$A$1001,customers!$C$1:$C$1001,,0)=0,"",_xlfn.XLOOKUP(C538,customers!$A$1:$A$1001,customers!$C$1:$C$1001,,0))</f>
        <v>murione5@alexa.com</v>
      </c>
      <c r="H538" s="2" t="str">
        <f>_xlfn.XLOOKUP(C538,customers!$A$1:$A$1001,customers!$G$1:$G$1001,,0)</f>
        <v>Ireland</v>
      </c>
      <c r="I538" t="str">
        <f>INDEX(products!$A$1:$G$49, MATCH(orders!$D538, products!$A$1:$A$49, 0), MATCH(orders!I$1, products!$A$1:$G$1, 0))</f>
        <v>Rob</v>
      </c>
      <c r="J538" t="str">
        <f>INDEX(products!$A$1:$G$49, MATCH(orders!$D538, products!$A$1:$A$49, 0), MATCH(orders!J$1, products!$A$1:$G$1, 0))</f>
        <v>D</v>
      </c>
      <c r="K538" s="5">
        <f>INDEX(products!$A$1:$G$49, MATCH(orders!$D538, products!$A$1:$A$49, 0), MATCH(orders!K$1, products!$A$1:$G$1, 0))</f>
        <v>0.2</v>
      </c>
      <c r="L538" s="6">
        <f>INDEX(products!$A$1:$G$49, MATCH(orders!$D538, products!$A$1:$A$49, 0), MATCH(orders!L$1, products!$A$1:$G$1, 0))</f>
        <v>2.6849999999999996</v>
      </c>
      <c r="M538" s="6">
        <f t="shared" si="25"/>
        <v>8.0549999999999997</v>
      </c>
      <c r="N538" t="str">
        <f t="shared" si="26"/>
        <v>Robusta</v>
      </c>
      <c r="O538" t="str">
        <f t="shared" si="24"/>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_xlfn.XLOOKUP(C539,customers!$A$2:$A$1001,customers!$B$2:$B$1001,,0)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 MATCH(orders!$D539, products!$A$1:$A$49, 0), MATCH(orders!I$1, products!$A$1:$G$1, 0))</f>
        <v>Exc</v>
      </c>
      <c r="J539" t="str">
        <f>INDEX(products!$A$1:$G$49, MATCH(orders!$D539, products!$A$1:$A$49, 0), MATCH(orders!J$1, products!$A$1:$G$1, 0))</f>
        <v>D</v>
      </c>
      <c r="K539" s="5">
        <f>INDEX(products!$A$1:$G$49, MATCH(orders!$D539, products!$A$1:$A$49, 0), MATCH(orders!K$1, products!$A$1:$G$1, 0))</f>
        <v>2.5</v>
      </c>
      <c r="L539" s="6">
        <f>INDEX(products!$A$1:$G$49, MATCH(orders!$D539, products!$A$1:$A$49, 0), MATCH(orders!L$1, products!$A$1:$G$1, 0))</f>
        <v>27.945</v>
      </c>
      <c r="M539" s="6">
        <f t="shared" si="25"/>
        <v>111.78</v>
      </c>
      <c r="N539" t="str">
        <f t="shared" si="26"/>
        <v>Excelsa</v>
      </c>
      <c r="O539" t="str">
        <f t="shared" si="24"/>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_xlfn.XLOOKUP(C540,customers!$A$2:$A$1001,customers!$B$2:$B$1001,,0)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 MATCH(orders!$D540, products!$A$1:$A$49, 0), MATCH(orders!I$1, products!$A$1:$G$1, 0))</f>
        <v>Rob</v>
      </c>
      <c r="J540" t="str">
        <f>INDEX(products!$A$1:$G$49, MATCH(orders!$D540, products!$A$1:$A$49, 0), MATCH(orders!J$1, products!$A$1:$G$1, 0))</f>
        <v>D</v>
      </c>
      <c r="K540" s="5">
        <f>INDEX(products!$A$1:$G$49, MATCH(orders!$D540, products!$A$1:$A$49, 0), MATCH(orders!K$1, products!$A$1:$G$1, 0))</f>
        <v>0.2</v>
      </c>
      <c r="L540" s="6">
        <f>INDEX(products!$A$1:$G$49, MATCH(orders!$D540, products!$A$1:$A$49, 0), MATCH(orders!L$1, products!$A$1:$G$1, 0))</f>
        <v>2.6849999999999996</v>
      </c>
      <c r="M540" s="6">
        <f t="shared" si="25"/>
        <v>10.739999999999998</v>
      </c>
      <c r="N540" t="str">
        <f t="shared" si="26"/>
        <v>Robusta</v>
      </c>
      <c r="O540" t="str">
        <f t="shared" si="24"/>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_xlfn.XLOOKUP(C541,customers!$A$2:$A$1001,customers!$B$2:$B$1001,,0)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 MATCH(orders!$D541, products!$A$1:$A$49, 0), MATCH(orders!I$1, products!$A$1:$G$1, 0))</f>
        <v>Rob</v>
      </c>
      <c r="J541" t="str">
        <f>INDEX(products!$A$1:$G$49, MATCH(orders!$D541, products!$A$1:$A$49, 0), MATCH(orders!J$1, products!$A$1:$G$1, 0))</f>
        <v>D</v>
      </c>
      <c r="K541" s="5">
        <f>INDEX(products!$A$1:$G$49, MATCH(orders!$D541, products!$A$1:$A$49, 0), MATCH(orders!K$1, products!$A$1:$G$1, 0))</f>
        <v>0.5</v>
      </c>
      <c r="L541" s="6">
        <f>INDEX(products!$A$1:$G$49, MATCH(orders!$D541, products!$A$1:$A$49, 0), MATCH(orders!L$1, products!$A$1:$G$1, 0))</f>
        <v>5.3699999999999992</v>
      </c>
      <c r="M541" s="6">
        <f t="shared" si="25"/>
        <v>26.849999999999994</v>
      </c>
      <c r="N541" t="str">
        <f t="shared" si="26"/>
        <v>Robusta</v>
      </c>
      <c r="O541" t="str">
        <f t="shared" si="24"/>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_xlfn.XLOOKUP(C542,customers!$A$2:$A$1001,customers!$B$2:$B$1001,,0)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 MATCH(orders!$D542, products!$A$1:$A$49, 0), MATCH(orders!I$1, products!$A$1:$G$1, 0))</f>
        <v>Lib</v>
      </c>
      <c r="J542" t="str">
        <f>INDEX(products!$A$1:$G$49, MATCH(orders!$D542, products!$A$1:$A$49, 0), MATCH(orders!J$1, products!$A$1:$G$1, 0))</f>
        <v>L</v>
      </c>
      <c r="K542" s="5">
        <f>INDEX(products!$A$1:$G$49, MATCH(orders!$D542, products!$A$1:$A$49, 0), MATCH(orders!K$1, products!$A$1:$G$1, 0))</f>
        <v>1</v>
      </c>
      <c r="L542" s="6">
        <f>INDEX(products!$A$1:$G$49, MATCH(orders!$D542, products!$A$1:$A$49, 0), MATCH(orders!L$1, products!$A$1:$G$1, 0))</f>
        <v>15.85</v>
      </c>
      <c r="M542" s="6">
        <f t="shared" si="25"/>
        <v>63.4</v>
      </c>
      <c r="N542" t="str">
        <f t="shared" si="26"/>
        <v>Liberica</v>
      </c>
      <c r="O542" t="str">
        <f t="shared" si="24"/>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_xlfn.XLOOKUP(C543,customers!$A$2:$A$1001,customers!$B$2:$B$1001,,0)</f>
        <v>Lora Dukes</v>
      </c>
      <c r="G543" s="2" t="str">
        <f>IF(_xlfn.XLOOKUP(C543,customers!$A$1:$A$1001,customers!$C$1:$C$1001,,0)=0,"",_xlfn.XLOOKUP(C543,customers!$A$1:$A$1001,customers!$C$1:$C$1001,,0))</f>
        <v/>
      </c>
      <c r="H543" s="2" t="str">
        <f>_xlfn.XLOOKUP(C543,customers!$A$1:$A$1001,customers!$G$1:$G$1001,,0)</f>
        <v>Ireland</v>
      </c>
      <c r="I543" t="str">
        <f>INDEX(products!$A$1:$G$49, MATCH(orders!$D543, products!$A$1:$A$49, 0), MATCH(orders!I$1, products!$A$1:$G$1, 0))</f>
        <v>Ara</v>
      </c>
      <c r="J543" t="str">
        <f>INDEX(products!$A$1:$G$49, MATCH(orders!$D543, products!$A$1:$A$49, 0), MATCH(orders!J$1, products!$A$1:$G$1, 0))</f>
        <v>D</v>
      </c>
      <c r="K543" s="5">
        <f>INDEX(products!$A$1:$G$49, MATCH(orders!$D543, products!$A$1:$A$49, 0), MATCH(orders!K$1, products!$A$1:$G$1, 0))</f>
        <v>2.5</v>
      </c>
      <c r="L543" s="6">
        <f>INDEX(products!$A$1:$G$49, MATCH(orders!$D543, products!$A$1:$A$49, 0), MATCH(orders!L$1, products!$A$1:$G$1, 0))</f>
        <v>22.884999999999998</v>
      </c>
      <c r="M543" s="6">
        <f t="shared" si="25"/>
        <v>22.884999999999998</v>
      </c>
      <c r="N543" t="str">
        <f t="shared" si="26"/>
        <v>Arabica</v>
      </c>
      <c r="O543" t="str">
        <f t="shared" si="24"/>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_xlfn.XLOOKUP(C544,customers!$A$2:$A$1001,customers!$B$2:$B$1001,,0)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 MATCH(orders!$D544, products!$A$1:$A$49, 0), MATCH(orders!I$1, products!$A$1:$G$1, 0))</f>
        <v>Ara</v>
      </c>
      <c r="J544" t="str">
        <f>INDEX(products!$A$1:$G$49, MATCH(orders!$D544, products!$A$1:$A$49, 0), MATCH(orders!J$1, products!$A$1:$G$1, 0))</f>
        <v>M</v>
      </c>
      <c r="K544" s="5">
        <f>INDEX(products!$A$1:$G$49, MATCH(orders!$D544, products!$A$1:$A$49, 0), MATCH(orders!K$1, products!$A$1:$G$1, 0))</f>
        <v>2.5</v>
      </c>
      <c r="L544" s="6">
        <f>INDEX(products!$A$1:$G$49, MATCH(orders!$D544, products!$A$1:$A$49, 0), MATCH(orders!L$1, products!$A$1:$G$1, 0))</f>
        <v>25.874999999999996</v>
      </c>
      <c r="M544" s="6">
        <f t="shared" si="25"/>
        <v>103.49999999999999</v>
      </c>
      <c r="N544" t="str">
        <f t="shared" si="26"/>
        <v>Arabica</v>
      </c>
      <c r="O544" t="str">
        <f t="shared" si="24"/>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_xlfn.XLOOKUP(C545,customers!$A$2:$A$1001,customers!$B$2:$B$1001,,0)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 MATCH(orders!$D545, products!$A$1:$A$49, 0), MATCH(orders!I$1, products!$A$1:$G$1, 0))</f>
        <v>Rob</v>
      </c>
      <c r="J545" t="str">
        <f>INDEX(products!$A$1:$G$49, MATCH(orders!$D545, products!$A$1:$A$49, 0), MATCH(orders!J$1, products!$A$1:$G$1, 0))</f>
        <v>L</v>
      </c>
      <c r="K545" s="5">
        <f>INDEX(products!$A$1:$G$49, MATCH(orders!$D545, products!$A$1:$A$49, 0), MATCH(orders!K$1, products!$A$1:$G$1, 0))</f>
        <v>2.5</v>
      </c>
      <c r="L545" s="6">
        <f>INDEX(products!$A$1:$G$49, MATCH(orders!$D545, products!$A$1:$A$49, 0), MATCH(orders!L$1, products!$A$1:$G$1, 0))</f>
        <v>27.484999999999996</v>
      </c>
      <c r="M545" s="6">
        <f t="shared" si="25"/>
        <v>54.969999999999992</v>
      </c>
      <c r="N545" t="str">
        <f t="shared" si="26"/>
        <v>Robusta</v>
      </c>
      <c r="O545" t="str">
        <f t="shared" si="24"/>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_xlfn.XLOOKUP(C546,customers!$A$2:$A$1001,customers!$B$2:$B$1001,,0)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 MATCH(orders!$D546, products!$A$1:$A$49, 0), MATCH(orders!I$1, products!$A$1:$G$1, 0))</f>
        <v>Ara</v>
      </c>
      <c r="J546" t="str">
        <f>INDEX(products!$A$1:$G$49, MATCH(orders!$D546, products!$A$1:$A$49, 0), MATCH(orders!J$1, products!$A$1:$G$1, 0))</f>
        <v>L</v>
      </c>
      <c r="K546" s="5">
        <f>INDEX(products!$A$1:$G$49, MATCH(orders!$D546, products!$A$1:$A$49, 0), MATCH(orders!K$1, products!$A$1:$G$1, 0))</f>
        <v>0.5</v>
      </c>
      <c r="L546" s="6">
        <f>INDEX(products!$A$1:$G$49, MATCH(orders!$D546, products!$A$1:$A$49, 0), MATCH(orders!L$1, products!$A$1:$G$1, 0))</f>
        <v>7.77</v>
      </c>
      <c r="M546" s="6">
        <f t="shared" si="25"/>
        <v>15.54</v>
      </c>
      <c r="N546" t="str">
        <f t="shared" si="26"/>
        <v>Arabica</v>
      </c>
      <c r="O546" t="str">
        <f t="shared" si="24"/>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_xlfn.XLOOKUP(C547,customers!$A$2:$A$1001,customers!$B$2:$B$1001,,0)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 MATCH(orders!$D547, products!$A$1:$A$49, 0), MATCH(orders!I$1, products!$A$1:$G$1, 0))</f>
        <v>Lib</v>
      </c>
      <c r="J547" t="str">
        <f>INDEX(products!$A$1:$G$49, MATCH(orders!$D547, products!$A$1:$A$49, 0), MATCH(orders!J$1, products!$A$1:$G$1, 0))</f>
        <v>D</v>
      </c>
      <c r="K547" s="5">
        <f>INDEX(products!$A$1:$G$49, MATCH(orders!$D547, products!$A$1:$A$49, 0), MATCH(orders!K$1, products!$A$1:$G$1, 0))</f>
        <v>0.2</v>
      </c>
      <c r="L547" s="6">
        <f>INDEX(products!$A$1:$G$49, MATCH(orders!$D547, products!$A$1:$A$49, 0), MATCH(orders!L$1, products!$A$1:$G$1, 0))</f>
        <v>3.8849999999999998</v>
      </c>
      <c r="M547" s="6">
        <f t="shared" si="25"/>
        <v>15.54</v>
      </c>
      <c r="N547" t="str">
        <f t="shared" si="26"/>
        <v>Liberica</v>
      </c>
      <c r="O547" t="str">
        <f t="shared" si="24"/>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_xlfn.XLOOKUP(C548,customers!$A$2:$A$1001,customers!$B$2:$B$1001,,0)</f>
        <v>Dom Milella</v>
      </c>
      <c r="G548" s="2" t="str">
        <f>IF(_xlfn.XLOOKUP(C548,customers!$A$1:$A$1001,customers!$C$1:$C$1001,,0)=0,"",_xlfn.XLOOKUP(C548,customers!$A$1:$A$1001,customers!$C$1:$C$1001,,0))</f>
        <v/>
      </c>
      <c r="H548" s="2" t="str">
        <f>_xlfn.XLOOKUP(C548,customers!$A$1:$A$1001,customers!$G$1:$G$1001,,0)</f>
        <v>Ireland</v>
      </c>
      <c r="I548" t="str">
        <f>INDEX(products!$A$1:$G$49, MATCH(orders!$D548, products!$A$1:$A$49, 0), MATCH(orders!I$1, products!$A$1:$G$1, 0))</f>
        <v>Exc</v>
      </c>
      <c r="J548" t="str">
        <f>INDEX(products!$A$1:$G$49, MATCH(orders!$D548, products!$A$1:$A$49, 0), MATCH(orders!J$1, products!$A$1:$G$1, 0))</f>
        <v>D</v>
      </c>
      <c r="K548" s="5">
        <f>INDEX(products!$A$1:$G$49, MATCH(orders!$D548, products!$A$1:$A$49, 0), MATCH(orders!K$1, products!$A$1:$G$1, 0))</f>
        <v>2.5</v>
      </c>
      <c r="L548" s="6">
        <f>INDEX(products!$A$1:$G$49, MATCH(orders!$D548, products!$A$1:$A$49, 0), MATCH(orders!L$1, products!$A$1:$G$1, 0))</f>
        <v>27.945</v>
      </c>
      <c r="M548" s="6">
        <f t="shared" si="25"/>
        <v>83.835000000000008</v>
      </c>
      <c r="N548" t="str">
        <f t="shared" si="26"/>
        <v>Excelsa</v>
      </c>
      <c r="O548" t="str">
        <f t="shared" si="24"/>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_xlfn.XLOOKUP(C549,customers!$A$2:$A$1001,customers!$B$2:$B$1001,,0)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 MATCH(orders!$D549, products!$A$1:$A$49, 0), MATCH(orders!I$1, products!$A$1:$G$1, 0))</f>
        <v>Rob</v>
      </c>
      <c r="J549" t="str">
        <f>INDEX(products!$A$1:$G$49, MATCH(orders!$D549, products!$A$1:$A$49, 0), MATCH(orders!J$1, products!$A$1:$G$1, 0))</f>
        <v>L</v>
      </c>
      <c r="K549" s="5">
        <f>INDEX(products!$A$1:$G$49, MATCH(orders!$D549, products!$A$1:$A$49, 0), MATCH(orders!K$1, products!$A$1:$G$1, 0))</f>
        <v>0.2</v>
      </c>
      <c r="L549" s="6">
        <f>INDEX(products!$A$1:$G$49, MATCH(orders!$D549, products!$A$1:$A$49, 0), MATCH(orders!L$1, products!$A$1:$G$1, 0))</f>
        <v>3.5849999999999995</v>
      </c>
      <c r="M549" s="6">
        <f t="shared" si="25"/>
        <v>10.754999999999999</v>
      </c>
      <c r="N549" t="str">
        <f t="shared" si="26"/>
        <v>Robusta</v>
      </c>
      <c r="O549" t="str">
        <f t="shared" si="24"/>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_xlfn.XLOOKUP(C550,customers!$A$2:$A$1001,customers!$B$2:$B$1001,,0)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 MATCH(orders!$D550, products!$A$1:$A$49, 0), MATCH(orders!I$1, products!$A$1:$G$1, 0))</f>
        <v>Exc</v>
      </c>
      <c r="J550" t="str">
        <f>INDEX(products!$A$1:$G$49, MATCH(orders!$D550, products!$A$1:$A$49, 0), MATCH(orders!J$1, products!$A$1:$G$1, 0))</f>
        <v>L</v>
      </c>
      <c r="K550" s="5">
        <f>INDEX(products!$A$1:$G$49, MATCH(orders!$D550, products!$A$1:$A$49, 0), MATCH(orders!K$1, products!$A$1:$G$1, 0))</f>
        <v>0.2</v>
      </c>
      <c r="L550" s="6">
        <f>INDEX(products!$A$1:$G$49, MATCH(orders!$D550, products!$A$1:$A$49, 0), MATCH(orders!L$1, products!$A$1:$G$1, 0))</f>
        <v>4.4550000000000001</v>
      </c>
      <c r="M550" s="6">
        <f t="shared" si="25"/>
        <v>13.365</v>
      </c>
      <c r="N550" t="str">
        <f t="shared" si="26"/>
        <v>Excelsa</v>
      </c>
      <c r="O550" t="str">
        <f t="shared" si="24"/>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_xlfn.XLOOKUP(C551,customers!$A$2:$A$1001,customers!$B$2:$B$1001,,0)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 MATCH(orders!$D551, products!$A$1:$A$49, 0), MATCH(orders!I$1, products!$A$1:$G$1, 0))</f>
        <v>Exc</v>
      </c>
      <c r="J551" t="str">
        <f>INDEX(products!$A$1:$G$49, MATCH(orders!$D551, products!$A$1:$A$49, 0), MATCH(orders!J$1, products!$A$1:$G$1, 0))</f>
        <v>L</v>
      </c>
      <c r="K551" s="5">
        <f>INDEX(products!$A$1:$G$49, MATCH(orders!$D551, products!$A$1:$A$49, 0), MATCH(orders!K$1, products!$A$1:$G$1, 0))</f>
        <v>0.2</v>
      </c>
      <c r="L551" s="6">
        <f>INDEX(products!$A$1:$G$49, MATCH(orders!$D551, products!$A$1:$A$49, 0), MATCH(orders!L$1, products!$A$1:$G$1, 0))</f>
        <v>4.4550000000000001</v>
      </c>
      <c r="M551" s="6">
        <f t="shared" si="25"/>
        <v>17.82</v>
      </c>
      <c r="N551" t="str">
        <f t="shared" si="26"/>
        <v>Excelsa</v>
      </c>
      <c r="O551" t="str">
        <f t="shared" si="24"/>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_xlfn.XLOOKUP(C552,customers!$A$2:$A$1001,customers!$B$2:$B$1001,,0)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 MATCH(orders!$D552, products!$A$1:$A$49, 0), MATCH(orders!I$1, products!$A$1:$G$1, 0))</f>
        <v>Lib</v>
      </c>
      <c r="J552" t="str">
        <f>INDEX(products!$A$1:$G$49, MATCH(orders!$D552, products!$A$1:$A$49, 0), MATCH(orders!J$1, products!$A$1:$G$1, 0))</f>
        <v>D</v>
      </c>
      <c r="K552" s="5">
        <f>INDEX(products!$A$1:$G$49, MATCH(orders!$D552, products!$A$1:$A$49, 0), MATCH(orders!K$1, products!$A$1:$G$1, 0))</f>
        <v>0.2</v>
      </c>
      <c r="L552" s="6">
        <f>INDEX(products!$A$1:$G$49, MATCH(orders!$D552, products!$A$1:$A$49, 0), MATCH(orders!L$1, products!$A$1:$G$1, 0))</f>
        <v>3.8849999999999998</v>
      </c>
      <c r="M552" s="6">
        <f t="shared" si="25"/>
        <v>23.31</v>
      </c>
      <c r="N552" t="str">
        <f t="shared" si="26"/>
        <v>Liberica</v>
      </c>
      <c r="O552" t="str">
        <f t="shared" si="24"/>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_xlfn.XLOOKUP(C553,customers!$A$2:$A$1001,customers!$B$2:$B$1001,,0)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 MATCH(orders!$D553, products!$A$1:$A$49, 0), MATCH(orders!I$1, products!$A$1:$G$1, 0))</f>
        <v>Exc</v>
      </c>
      <c r="J553" t="str">
        <f>INDEX(products!$A$1:$G$49, MATCH(orders!$D553, products!$A$1:$A$49, 0), MATCH(orders!J$1, products!$A$1:$G$1, 0))</f>
        <v>D</v>
      </c>
      <c r="K553" s="5">
        <f>INDEX(products!$A$1:$G$49, MATCH(orders!$D553, products!$A$1:$A$49, 0), MATCH(orders!K$1, products!$A$1:$G$1, 0))</f>
        <v>0.2</v>
      </c>
      <c r="L553" s="6">
        <f>INDEX(products!$A$1:$G$49, MATCH(orders!$D553, products!$A$1:$A$49, 0), MATCH(orders!L$1, products!$A$1:$G$1, 0))</f>
        <v>3.645</v>
      </c>
      <c r="M553" s="6">
        <f t="shared" si="25"/>
        <v>7.29</v>
      </c>
      <c r="N553" t="str">
        <f t="shared" si="26"/>
        <v>Excelsa</v>
      </c>
      <c r="O553" t="str">
        <f t="shared" si="24"/>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_xlfn.XLOOKUP(C554,customers!$A$2:$A$1001,customers!$B$2:$B$1001,,0)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 MATCH(orders!$D554, products!$A$1:$A$49, 0), MATCH(orders!I$1, products!$A$1:$G$1, 0))</f>
        <v>Exc</v>
      </c>
      <c r="J554" t="str">
        <f>INDEX(products!$A$1:$G$49, MATCH(orders!$D554, products!$A$1:$A$49, 0), MATCH(orders!J$1, products!$A$1:$G$1, 0))</f>
        <v>L</v>
      </c>
      <c r="K554" s="5">
        <f>INDEX(products!$A$1:$G$49, MATCH(orders!$D554, products!$A$1:$A$49, 0), MATCH(orders!K$1, products!$A$1:$G$1, 0))</f>
        <v>0.2</v>
      </c>
      <c r="L554" s="6">
        <f>INDEX(products!$A$1:$G$49, MATCH(orders!$D554, products!$A$1:$A$49, 0), MATCH(orders!L$1, products!$A$1:$G$1, 0))</f>
        <v>4.4550000000000001</v>
      </c>
      <c r="M554" s="6">
        <f t="shared" si="25"/>
        <v>17.82</v>
      </c>
      <c r="N554" t="str">
        <f t="shared" si="26"/>
        <v>Excelsa</v>
      </c>
      <c r="O554" t="str">
        <f t="shared" si="24"/>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_xlfn.XLOOKUP(C555,customers!$A$2:$A$1001,customers!$B$2:$B$1001,,0)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 MATCH(orders!$D555, products!$A$1:$A$49, 0), MATCH(orders!I$1, products!$A$1:$G$1, 0))</f>
        <v>Exc</v>
      </c>
      <c r="J555" t="str">
        <f>INDEX(products!$A$1:$G$49, MATCH(orders!$D555, products!$A$1:$A$49, 0), MATCH(orders!J$1, products!$A$1:$G$1, 0))</f>
        <v>M</v>
      </c>
      <c r="K555" s="5">
        <f>INDEX(products!$A$1:$G$49, MATCH(orders!$D555, products!$A$1:$A$49, 0), MATCH(orders!K$1, products!$A$1:$G$1, 0))</f>
        <v>1</v>
      </c>
      <c r="L555" s="6">
        <f>INDEX(products!$A$1:$G$49, MATCH(orders!$D555, products!$A$1:$A$49, 0), MATCH(orders!L$1, products!$A$1:$G$1, 0))</f>
        <v>13.75</v>
      </c>
      <c r="M555" s="6">
        <f t="shared" si="25"/>
        <v>68.75</v>
      </c>
      <c r="N555" t="str">
        <f t="shared" si="26"/>
        <v>Excelsa</v>
      </c>
      <c r="O555" t="str">
        <f t="shared" si="24"/>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_xlfn.XLOOKUP(C556,customers!$A$2:$A$1001,customers!$B$2:$B$1001,,0)</f>
        <v>Madelaine Sharples</v>
      </c>
      <c r="G556" s="2" t="str">
        <f>IF(_xlfn.XLOOKUP(C556,customers!$A$1:$A$1001,customers!$C$1:$C$1001,,0)=0,"",_xlfn.XLOOKUP(C556,customers!$A$1:$A$1001,customers!$C$1:$C$1001,,0))</f>
        <v/>
      </c>
      <c r="H556" s="2" t="str">
        <f>_xlfn.XLOOKUP(C556,customers!$A$1:$A$1001,customers!$G$1:$G$1001,,0)</f>
        <v>United Kingdom</v>
      </c>
      <c r="I556" t="str">
        <f>INDEX(products!$A$1:$G$49, MATCH(orders!$D556, products!$A$1:$A$49, 0), MATCH(orders!I$1, products!$A$1:$G$1, 0))</f>
        <v>Rob</v>
      </c>
      <c r="J556" t="str">
        <f>INDEX(products!$A$1:$G$49, MATCH(orders!$D556, products!$A$1:$A$49, 0), MATCH(orders!J$1, products!$A$1:$G$1, 0))</f>
        <v>L</v>
      </c>
      <c r="K556" s="5">
        <f>INDEX(products!$A$1:$G$49, MATCH(orders!$D556, products!$A$1:$A$49, 0), MATCH(orders!K$1, products!$A$1:$G$1, 0))</f>
        <v>2.5</v>
      </c>
      <c r="L556" s="6">
        <f>INDEX(products!$A$1:$G$49, MATCH(orders!$D556, products!$A$1:$A$49, 0), MATCH(orders!L$1, products!$A$1:$G$1, 0))</f>
        <v>27.484999999999996</v>
      </c>
      <c r="M556" s="6">
        <f t="shared" si="25"/>
        <v>54.969999999999992</v>
      </c>
      <c r="N556" t="str">
        <f t="shared" si="26"/>
        <v>Robusta</v>
      </c>
      <c r="O556" t="str">
        <f t="shared" si="24"/>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_xlfn.XLOOKUP(C557,customers!$A$2:$A$1001,customers!$B$2:$B$1001,,0)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 MATCH(orders!$D557, products!$A$1:$A$49, 0), MATCH(orders!I$1, products!$A$1:$G$1, 0))</f>
        <v>Exc</v>
      </c>
      <c r="J557" t="str">
        <f>INDEX(products!$A$1:$G$49, MATCH(orders!$D557, products!$A$1:$A$49, 0), MATCH(orders!J$1, products!$A$1:$G$1, 0))</f>
        <v>M</v>
      </c>
      <c r="K557" s="5">
        <f>INDEX(products!$A$1:$G$49, MATCH(orders!$D557, products!$A$1:$A$49, 0), MATCH(orders!K$1, products!$A$1:$G$1, 0))</f>
        <v>1</v>
      </c>
      <c r="L557" s="6">
        <f>INDEX(products!$A$1:$G$49, MATCH(orders!$D557, products!$A$1:$A$49, 0), MATCH(orders!L$1, products!$A$1:$G$1, 0))</f>
        <v>13.75</v>
      </c>
      <c r="M557" s="6">
        <f t="shared" si="25"/>
        <v>82.5</v>
      </c>
      <c r="N557" t="str">
        <f t="shared" si="26"/>
        <v>Excelsa</v>
      </c>
      <c r="O557" t="str">
        <f t="shared" si="24"/>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_xlfn.XLOOKUP(C558,customers!$A$2:$A$1001,customers!$B$2:$B$1001,,0)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 MATCH(orders!$D558, products!$A$1:$A$49, 0), MATCH(orders!I$1, products!$A$1:$G$1, 0))</f>
        <v>Lib</v>
      </c>
      <c r="J558" t="str">
        <f>INDEX(products!$A$1:$G$49, MATCH(orders!$D558, products!$A$1:$A$49, 0), MATCH(orders!J$1, products!$A$1:$G$1, 0))</f>
        <v>M</v>
      </c>
      <c r="K558" s="5">
        <f>INDEX(products!$A$1:$G$49, MATCH(orders!$D558, products!$A$1:$A$49, 0), MATCH(orders!K$1, products!$A$1:$G$1, 0))</f>
        <v>0.2</v>
      </c>
      <c r="L558" s="6">
        <f>INDEX(products!$A$1:$G$49, MATCH(orders!$D558, products!$A$1:$A$49, 0), MATCH(orders!L$1, products!$A$1:$G$1, 0))</f>
        <v>4.3650000000000002</v>
      </c>
      <c r="M558" s="6">
        <f t="shared" si="25"/>
        <v>8.73</v>
      </c>
      <c r="N558" t="str">
        <f t="shared" si="26"/>
        <v>Liberica</v>
      </c>
      <c r="O558" t="str">
        <f t="shared" si="24"/>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_xlfn.XLOOKUP(C559,customers!$A$2:$A$1001,customers!$B$2:$B$1001,,0)</f>
        <v>Marja Urion</v>
      </c>
      <c r="G559" s="2" t="str">
        <f>IF(_xlfn.XLOOKUP(C559,customers!$A$1:$A$1001,customers!$C$1:$C$1001,,0)=0,"",_xlfn.XLOOKUP(C559,customers!$A$1:$A$1001,customers!$C$1:$C$1001,,0))</f>
        <v>murione5@alexa.com</v>
      </c>
      <c r="H559" s="2" t="str">
        <f>_xlfn.XLOOKUP(C559,customers!$A$1:$A$1001,customers!$G$1:$G$1001,,0)</f>
        <v>Ireland</v>
      </c>
      <c r="I559" t="str">
        <f>INDEX(products!$A$1:$G$49, MATCH(orders!$D559, products!$A$1:$A$49, 0), MATCH(orders!I$1, products!$A$1:$G$1, 0))</f>
        <v>Exc</v>
      </c>
      <c r="J559" t="str">
        <f>INDEX(products!$A$1:$G$49, MATCH(orders!$D559, products!$A$1:$A$49, 0), MATCH(orders!J$1, products!$A$1:$G$1, 0))</f>
        <v>L</v>
      </c>
      <c r="K559" s="5">
        <f>INDEX(products!$A$1:$G$49, MATCH(orders!$D559, products!$A$1:$A$49, 0), MATCH(orders!K$1, products!$A$1:$G$1, 0))</f>
        <v>1</v>
      </c>
      <c r="L559" s="6">
        <f>INDEX(products!$A$1:$G$49, MATCH(orders!$D559, products!$A$1:$A$49, 0), MATCH(orders!L$1, products!$A$1:$G$1, 0))</f>
        <v>14.85</v>
      </c>
      <c r="M559" s="6">
        <f t="shared" si="25"/>
        <v>59.4</v>
      </c>
      <c r="N559" t="str">
        <f t="shared" si="26"/>
        <v>Excelsa</v>
      </c>
      <c r="O559" t="str">
        <f t="shared" si="24"/>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_xlfn.XLOOKUP(C560,customers!$A$2:$A$1001,customers!$B$2:$B$1001,,0)</f>
        <v>Kenton Wetherick</v>
      </c>
      <c r="G560" s="2" t="str">
        <f>IF(_xlfn.XLOOKUP(C560,customers!$A$1:$A$1001,customers!$C$1:$C$1001,,0)=0,"",_xlfn.XLOOKUP(C560,customers!$A$1:$A$1001,customers!$C$1:$C$1001,,0))</f>
        <v/>
      </c>
      <c r="H560" s="2" t="str">
        <f>_xlfn.XLOOKUP(C560,customers!$A$1:$A$1001,customers!$G$1:$G$1001,,0)</f>
        <v>United States</v>
      </c>
      <c r="I560" t="str">
        <f>INDEX(products!$A$1:$G$49, MATCH(orders!$D560, products!$A$1:$A$49, 0), MATCH(orders!I$1, products!$A$1:$G$1, 0))</f>
        <v>Lib</v>
      </c>
      <c r="J560" t="str">
        <f>INDEX(products!$A$1:$G$49, MATCH(orders!$D560, products!$A$1:$A$49, 0), MATCH(orders!J$1, products!$A$1:$G$1, 0))</f>
        <v>D</v>
      </c>
      <c r="K560" s="5">
        <f>INDEX(products!$A$1:$G$49, MATCH(orders!$D560, products!$A$1:$A$49, 0), MATCH(orders!K$1, products!$A$1:$G$1, 0))</f>
        <v>0.2</v>
      </c>
      <c r="L560" s="6">
        <f>INDEX(products!$A$1:$G$49, MATCH(orders!$D560, products!$A$1:$A$49, 0), MATCH(orders!L$1, products!$A$1:$G$1, 0))</f>
        <v>3.8849999999999998</v>
      </c>
      <c r="M560" s="6">
        <f t="shared" si="25"/>
        <v>15.54</v>
      </c>
      <c r="N560" t="str">
        <f t="shared" si="26"/>
        <v>Liberica</v>
      </c>
      <c r="O560" t="str">
        <f t="shared" si="24"/>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_xlfn.XLOOKUP(C561,customers!$A$2:$A$1001,customers!$B$2:$B$1001,,0)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 MATCH(orders!$D561, products!$A$1:$A$49, 0), MATCH(orders!I$1, products!$A$1:$G$1, 0))</f>
        <v>Ara</v>
      </c>
      <c r="J561" t="str">
        <f>INDEX(products!$A$1:$G$49, MATCH(orders!$D561, products!$A$1:$A$49, 0), MATCH(orders!J$1, products!$A$1:$G$1, 0))</f>
        <v>L</v>
      </c>
      <c r="K561" s="5">
        <f>INDEX(products!$A$1:$G$49, MATCH(orders!$D561, products!$A$1:$A$49, 0), MATCH(orders!K$1, products!$A$1:$G$1, 0))</f>
        <v>1</v>
      </c>
      <c r="L561" s="6">
        <f>INDEX(products!$A$1:$G$49, MATCH(orders!$D561, products!$A$1:$A$49, 0), MATCH(orders!L$1, products!$A$1:$G$1, 0))</f>
        <v>12.95</v>
      </c>
      <c r="M561" s="6">
        <f t="shared" si="25"/>
        <v>38.849999999999994</v>
      </c>
      <c r="N561" t="str">
        <f t="shared" si="26"/>
        <v>Arabica</v>
      </c>
      <c r="O561" t="str">
        <f t="shared" si="24"/>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_xlfn.XLOOKUP(C562,customers!$A$2:$A$1001,customers!$B$2:$B$1001,,0)</f>
        <v>Hatty Dovydenas</v>
      </c>
      <c r="G562" s="2" t="str">
        <f>IF(_xlfn.XLOOKUP(C562,customers!$A$1:$A$1001,customers!$C$1:$C$1001,,0)=0,"",_xlfn.XLOOKUP(C562,customers!$A$1:$A$1001,customers!$C$1:$C$1001,,0))</f>
        <v/>
      </c>
      <c r="H562" s="2" t="str">
        <f>_xlfn.XLOOKUP(C562,customers!$A$1:$A$1001,customers!$G$1:$G$1001,,0)</f>
        <v>United States</v>
      </c>
      <c r="I562" t="str">
        <f>INDEX(products!$A$1:$G$49, MATCH(orders!$D562, products!$A$1:$A$49, 0), MATCH(orders!I$1, products!$A$1:$G$1, 0))</f>
        <v>Exc</v>
      </c>
      <c r="J562" t="str">
        <f>INDEX(products!$A$1:$G$49, MATCH(orders!$D562, products!$A$1:$A$49, 0), MATCH(orders!J$1, products!$A$1:$G$1, 0))</f>
        <v>M</v>
      </c>
      <c r="K562" s="5">
        <f>INDEX(products!$A$1:$G$49, MATCH(orders!$D562, products!$A$1:$A$49, 0), MATCH(orders!K$1, products!$A$1:$G$1, 0))</f>
        <v>2.5</v>
      </c>
      <c r="L562" s="6">
        <f>INDEX(products!$A$1:$G$49, MATCH(orders!$D562, products!$A$1:$A$49, 0), MATCH(orders!L$1, products!$A$1:$G$1, 0))</f>
        <v>31.624999999999996</v>
      </c>
      <c r="M562" s="6">
        <f t="shared" si="25"/>
        <v>189.74999999999997</v>
      </c>
      <c r="N562" t="str">
        <f t="shared" si="26"/>
        <v>Excelsa</v>
      </c>
      <c r="O562" t="str">
        <f t="shared" si="24"/>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_xlfn.XLOOKUP(C563,customers!$A$2:$A$1001,customers!$B$2:$B$1001,,0)</f>
        <v>Nathaniel Bloxland</v>
      </c>
      <c r="G563" s="2" t="str">
        <f>IF(_xlfn.XLOOKUP(C563,customers!$A$1:$A$1001,customers!$C$1:$C$1001,,0)=0,"",_xlfn.XLOOKUP(C563,customers!$A$1:$A$1001,customers!$C$1:$C$1001,,0))</f>
        <v/>
      </c>
      <c r="H563" s="2" t="str">
        <f>_xlfn.XLOOKUP(C563,customers!$A$1:$A$1001,customers!$G$1:$G$1001,,0)</f>
        <v>Ireland</v>
      </c>
      <c r="I563" t="str">
        <f>INDEX(products!$A$1:$G$49, MATCH(orders!$D563, products!$A$1:$A$49, 0), MATCH(orders!I$1, products!$A$1:$G$1, 0))</f>
        <v>Ara</v>
      </c>
      <c r="J563" t="str">
        <f>INDEX(products!$A$1:$G$49, MATCH(orders!$D563, products!$A$1:$A$49, 0), MATCH(orders!J$1, products!$A$1:$G$1, 0))</f>
        <v>D</v>
      </c>
      <c r="K563" s="5">
        <f>INDEX(products!$A$1:$G$49, MATCH(orders!$D563, products!$A$1:$A$49, 0), MATCH(orders!K$1, products!$A$1:$G$1, 0))</f>
        <v>0.2</v>
      </c>
      <c r="L563" s="6">
        <f>INDEX(products!$A$1:$G$49, MATCH(orders!$D563, products!$A$1:$A$49, 0), MATCH(orders!L$1, products!$A$1:$G$1, 0))</f>
        <v>2.9849999999999999</v>
      </c>
      <c r="M563" s="6">
        <f t="shared" si="25"/>
        <v>17.91</v>
      </c>
      <c r="N563" t="str">
        <f t="shared" si="26"/>
        <v>Arabica</v>
      </c>
      <c r="O563" t="str">
        <f t="shared" si="24"/>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_xlfn.XLOOKUP(C564,customers!$A$2:$A$1001,customers!$B$2:$B$1001,,0)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 MATCH(orders!$D564, products!$A$1:$A$49, 0), MATCH(orders!I$1, products!$A$1:$G$1, 0))</f>
        <v>Lib</v>
      </c>
      <c r="J564" t="str">
        <f>INDEX(products!$A$1:$G$49, MATCH(orders!$D564, products!$A$1:$A$49, 0), MATCH(orders!J$1, products!$A$1:$G$1, 0))</f>
        <v>L</v>
      </c>
      <c r="K564" s="5">
        <f>INDEX(products!$A$1:$G$49, MATCH(orders!$D564, products!$A$1:$A$49, 0), MATCH(orders!K$1, products!$A$1:$G$1, 0))</f>
        <v>0.2</v>
      </c>
      <c r="L564" s="6">
        <f>INDEX(products!$A$1:$G$49, MATCH(orders!$D564, products!$A$1:$A$49, 0), MATCH(orders!L$1, products!$A$1:$G$1, 0))</f>
        <v>4.7549999999999999</v>
      </c>
      <c r="M564" s="6">
        <f t="shared" si="25"/>
        <v>28.53</v>
      </c>
      <c r="N564" t="str">
        <f t="shared" si="26"/>
        <v>Liberica</v>
      </c>
      <c r="O564" t="str">
        <f t="shared" si="24"/>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_xlfn.XLOOKUP(C565,customers!$A$2:$A$1001,customers!$B$2:$B$1001,,0)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 MATCH(orders!$D565, products!$A$1:$A$49, 0), MATCH(orders!I$1, products!$A$1:$G$1, 0))</f>
        <v>Exc</v>
      </c>
      <c r="J565" t="str">
        <f>INDEX(products!$A$1:$G$49, MATCH(orders!$D565, products!$A$1:$A$49, 0), MATCH(orders!J$1, products!$A$1:$G$1, 0))</f>
        <v>M</v>
      </c>
      <c r="K565" s="5">
        <f>INDEX(products!$A$1:$G$49, MATCH(orders!$D565, products!$A$1:$A$49, 0), MATCH(orders!K$1, products!$A$1:$G$1, 0))</f>
        <v>1</v>
      </c>
      <c r="L565" s="6">
        <f>INDEX(products!$A$1:$G$49, MATCH(orders!$D565, products!$A$1:$A$49, 0), MATCH(orders!L$1, products!$A$1:$G$1, 0))</f>
        <v>13.75</v>
      </c>
      <c r="M565" s="6">
        <f t="shared" si="25"/>
        <v>82.5</v>
      </c>
      <c r="N565" t="str">
        <f t="shared" si="26"/>
        <v>Excelsa</v>
      </c>
      <c r="O565" t="str">
        <f t="shared" si="24"/>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_xlfn.XLOOKUP(C566,customers!$A$2:$A$1001,customers!$B$2:$B$1001,,0)</f>
        <v>Abbe Thys</v>
      </c>
      <c r="G566" s="2" t="str">
        <f>IF(_xlfn.XLOOKUP(C566,customers!$A$1:$A$1001,customers!$C$1:$C$1001,,0)=0,"",_xlfn.XLOOKUP(C566,customers!$A$1:$A$1001,customers!$C$1:$C$1001,,0))</f>
        <v>athysfo@cdc.gov</v>
      </c>
      <c r="H566" s="2" t="str">
        <f>_xlfn.XLOOKUP(C566,customers!$A$1:$A$1001,customers!$G$1:$G$1001,,0)</f>
        <v>United States</v>
      </c>
      <c r="I566" t="str">
        <f>INDEX(products!$A$1:$G$49, MATCH(orders!$D566, products!$A$1:$A$49, 0), MATCH(orders!I$1, products!$A$1:$G$1, 0))</f>
        <v>Rob</v>
      </c>
      <c r="J566" t="str">
        <f>INDEX(products!$A$1:$G$49, MATCH(orders!$D566, products!$A$1:$A$49, 0), MATCH(orders!J$1, products!$A$1:$G$1, 0))</f>
        <v>L</v>
      </c>
      <c r="K566" s="5">
        <f>INDEX(products!$A$1:$G$49, MATCH(orders!$D566, products!$A$1:$A$49, 0), MATCH(orders!K$1, products!$A$1:$G$1, 0))</f>
        <v>0.5</v>
      </c>
      <c r="L566" s="6">
        <f>INDEX(products!$A$1:$G$49, MATCH(orders!$D566, products!$A$1:$A$49, 0), MATCH(orders!L$1, products!$A$1:$G$1, 0))</f>
        <v>7.169999999999999</v>
      </c>
      <c r="M566" s="6">
        <f t="shared" si="25"/>
        <v>14.339999999999998</v>
      </c>
      <c r="N566" t="str">
        <f t="shared" si="26"/>
        <v>Robusta</v>
      </c>
      <c r="O566" t="str">
        <f t="shared" si="24"/>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_xlfn.XLOOKUP(C567,customers!$A$2:$A$1001,customers!$B$2:$B$1001,,0)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 MATCH(orders!$D567, products!$A$1:$A$49, 0), MATCH(orders!I$1, products!$A$1:$G$1, 0))</f>
        <v>Rob</v>
      </c>
      <c r="J567" t="str">
        <f>INDEX(products!$A$1:$G$49, MATCH(orders!$D567, products!$A$1:$A$49, 0), MATCH(orders!J$1, products!$A$1:$G$1, 0))</f>
        <v>D</v>
      </c>
      <c r="K567" s="5">
        <f>INDEX(products!$A$1:$G$49, MATCH(orders!$D567, products!$A$1:$A$49, 0), MATCH(orders!K$1, products!$A$1:$G$1, 0))</f>
        <v>2.5</v>
      </c>
      <c r="L567" s="6">
        <f>INDEX(products!$A$1:$G$49, MATCH(orders!$D567, products!$A$1:$A$49, 0), MATCH(orders!L$1, products!$A$1:$G$1, 0))</f>
        <v>20.584999999999997</v>
      </c>
      <c r="M567" s="6">
        <f t="shared" si="25"/>
        <v>82.339999999999989</v>
      </c>
      <c r="N567" t="str">
        <f t="shared" si="26"/>
        <v>Robusta</v>
      </c>
      <c r="O567" t="str">
        <f t="shared" si="24"/>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_xlfn.XLOOKUP(C568,customers!$A$2:$A$1001,customers!$B$2:$B$1001,,0)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 MATCH(orders!$D568, products!$A$1:$A$49, 0), MATCH(orders!I$1, products!$A$1:$G$1, 0))</f>
        <v>Ara</v>
      </c>
      <c r="J568" t="str">
        <f>INDEX(products!$A$1:$G$49, MATCH(orders!$D568, products!$A$1:$A$49, 0), MATCH(orders!J$1, products!$A$1:$G$1, 0))</f>
        <v>M</v>
      </c>
      <c r="K568" s="5">
        <f>INDEX(products!$A$1:$G$49, MATCH(orders!$D568, products!$A$1:$A$49, 0), MATCH(orders!K$1, products!$A$1:$G$1, 0))</f>
        <v>0.2</v>
      </c>
      <c r="L568" s="6">
        <f>INDEX(products!$A$1:$G$49, MATCH(orders!$D568, products!$A$1:$A$49, 0), MATCH(orders!L$1, products!$A$1:$G$1, 0))</f>
        <v>3.375</v>
      </c>
      <c r="M568" s="6">
        <f t="shared" si="25"/>
        <v>20.25</v>
      </c>
      <c r="N568" t="str">
        <f t="shared" si="26"/>
        <v>Arabica</v>
      </c>
      <c r="O568" t="str">
        <f t="shared" si="24"/>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_xlfn.XLOOKUP(C569,customers!$A$2:$A$1001,customers!$B$2:$B$1001,,0)</f>
        <v>Elvina Angel</v>
      </c>
      <c r="G569" s="2" t="str">
        <f>IF(_xlfn.XLOOKUP(C569,customers!$A$1:$A$1001,customers!$C$1:$C$1001,,0)=0,"",_xlfn.XLOOKUP(C569,customers!$A$1:$A$1001,customers!$C$1:$C$1001,,0))</f>
        <v/>
      </c>
      <c r="H569" s="2" t="str">
        <f>_xlfn.XLOOKUP(C569,customers!$A$1:$A$1001,customers!$G$1:$G$1001,,0)</f>
        <v>Ireland</v>
      </c>
      <c r="I569" t="str">
        <f>INDEX(products!$A$1:$G$49, MATCH(orders!$D569, products!$A$1:$A$49, 0), MATCH(orders!I$1, products!$A$1:$G$1, 0))</f>
        <v>Rob</v>
      </c>
      <c r="J569" t="str">
        <f>INDEX(products!$A$1:$G$49, MATCH(orders!$D569, products!$A$1:$A$49, 0), MATCH(orders!J$1, products!$A$1:$G$1, 0))</f>
        <v>L</v>
      </c>
      <c r="K569" s="5">
        <f>INDEX(products!$A$1:$G$49, MATCH(orders!$D569, products!$A$1:$A$49, 0), MATCH(orders!K$1, products!$A$1:$G$1, 0))</f>
        <v>2.5</v>
      </c>
      <c r="L569" s="6">
        <f>INDEX(products!$A$1:$G$49, MATCH(orders!$D569, products!$A$1:$A$49, 0), MATCH(orders!L$1, products!$A$1:$G$1, 0))</f>
        <v>27.484999999999996</v>
      </c>
      <c r="M569" s="6">
        <f t="shared" si="25"/>
        <v>164.90999999999997</v>
      </c>
      <c r="N569" t="str">
        <f t="shared" si="26"/>
        <v>Robusta</v>
      </c>
      <c r="O569" t="str">
        <f t="shared" si="24"/>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_xlfn.XLOOKUP(C570,customers!$A$2:$A$1001,customers!$B$2:$B$1001,,0)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 MATCH(orders!$D570, products!$A$1:$A$49, 0), MATCH(orders!I$1, products!$A$1:$G$1, 0))</f>
        <v>Lib</v>
      </c>
      <c r="J570" t="str">
        <f>INDEX(products!$A$1:$G$49, MATCH(orders!$D570, products!$A$1:$A$49, 0), MATCH(orders!J$1, products!$A$1:$G$1, 0))</f>
        <v>L</v>
      </c>
      <c r="K570" s="5">
        <f>INDEX(products!$A$1:$G$49, MATCH(orders!$D570, products!$A$1:$A$49, 0), MATCH(orders!K$1, products!$A$1:$G$1, 0))</f>
        <v>0.2</v>
      </c>
      <c r="L570" s="6">
        <f>INDEX(products!$A$1:$G$49, MATCH(orders!$D570, products!$A$1:$A$49, 0), MATCH(orders!L$1, products!$A$1:$G$1, 0))</f>
        <v>4.7549999999999999</v>
      </c>
      <c r="M570" s="6">
        <f t="shared" si="25"/>
        <v>19.02</v>
      </c>
      <c r="N570" t="str">
        <f t="shared" si="26"/>
        <v>Liberica</v>
      </c>
      <c r="O570" t="str">
        <f t="shared" si="24"/>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_xlfn.XLOOKUP(C571,customers!$A$2:$A$1001,customers!$B$2:$B$1001,,0)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 MATCH(orders!$D571, products!$A$1:$A$49, 0), MATCH(orders!I$1, products!$A$1:$G$1, 0))</f>
        <v>Ara</v>
      </c>
      <c r="J571" t="str">
        <f>INDEX(products!$A$1:$G$49, MATCH(orders!$D571, products!$A$1:$A$49, 0), MATCH(orders!J$1, products!$A$1:$G$1, 0))</f>
        <v>D</v>
      </c>
      <c r="K571" s="5">
        <f>INDEX(products!$A$1:$G$49, MATCH(orders!$D571, products!$A$1:$A$49, 0), MATCH(orders!K$1, products!$A$1:$G$1, 0))</f>
        <v>2.5</v>
      </c>
      <c r="L571" s="6">
        <f>INDEX(products!$A$1:$G$49, MATCH(orders!$D571, products!$A$1:$A$49, 0), MATCH(orders!L$1, products!$A$1:$G$1, 0))</f>
        <v>22.884999999999998</v>
      </c>
      <c r="M571" s="6">
        <f t="shared" si="25"/>
        <v>137.31</v>
      </c>
      <c r="N571" t="str">
        <f t="shared" si="26"/>
        <v>Arabica</v>
      </c>
      <c r="O571" t="str">
        <f t="shared" si="24"/>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_xlfn.XLOOKUP(C572,customers!$A$2:$A$1001,customers!$B$2:$B$1001,,0)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 MATCH(orders!$D572, products!$A$1:$A$49, 0), MATCH(orders!I$1, products!$A$1:$G$1, 0))</f>
        <v>Ara</v>
      </c>
      <c r="J572" t="str">
        <f>INDEX(products!$A$1:$G$49, MATCH(orders!$D572, products!$A$1:$A$49, 0), MATCH(orders!J$1, products!$A$1:$G$1, 0))</f>
        <v>M</v>
      </c>
      <c r="K572" s="5">
        <f>INDEX(products!$A$1:$G$49, MATCH(orders!$D572, products!$A$1:$A$49, 0), MATCH(orders!K$1, products!$A$1:$G$1, 0))</f>
        <v>0.5</v>
      </c>
      <c r="L572" s="6">
        <f>INDEX(products!$A$1:$G$49, MATCH(orders!$D572, products!$A$1:$A$49, 0), MATCH(orders!L$1, products!$A$1:$G$1, 0))</f>
        <v>6.75</v>
      </c>
      <c r="M572" s="6">
        <f t="shared" si="25"/>
        <v>27</v>
      </c>
      <c r="N572" t="str">
        <f t="shared" si="26"/>
        <v>Arabica</v>
      </c>
      <c r="O572" t="str">
        <f t="shared" si="24"/>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_xlfn.XLOOKUP(C573,customers!$A$2:$A$1001,customers!$B$2:$B$1001,,0)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 MATCH(orders!$D573, products!$A$1:$A$49, 0), MATCH(orders!I$1, products!$A$1:$G$1, 0))</f>
        <v>Exc</v>
      </c>
      <c r="J573" t="str">
        <f>INDEX(products!$A$1:$G$49, MATCH(orders!$D573, products!$A$1:$A$49, 0), MATCH(orders!J$1, products!$A$1:$G$1, 0))</f>
        <v>L</v>
      </c>
      <c r="K573" s="5">
        <f>INDEX(products!$A$1:$G$49, MATCH(orders!$D573, products!$A$1:$A$49, 0), MATCH(orders!K$1, products!$A$1:$G$1, 0))</f>
        <v>0.5</v>
      </c>
      <c r="L573" s="6">
        <f>INDEX(products!$A$1:$G$49, MATCH(orders!$D573, products!$A$1:$A$49, 0), MATCH(orders!L$1, products!$A$1:$G$1, 0))</f>
        <v>8.91</v>
      </c>
      <c r="M573" s="6">
        <f t="shared" si="25"/>
        <v>35.64</v>
      </c>
      <c r="N573" t="str">
        <f t="shared" si="26"/>
        <v>Excelsa</v>
      </c>
      <c r="O573" t="str">
        <f t="shared" si="24"/>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_xlfn.XLOOKUP(C574,customers!$A$2:$A$1001,customers!$B$2:$B$1001,,0)</f>
        <v>Herbie Peppard</v>
      </c>
      <c r="G574" s="2" t="str">
        <f>IF(_xlfn.XLOOKUP(C574,customers!$A$1:$A$1001,customers!$C$1:$C$1001,,0)=0,"",_xlfn.XLOOKUP(C574,customers!$A$1:$A$1001,customers!$C$1:$C$1001,,0))</f>
        <v/>
      </c>
      <c r="H574" s="2" t="str">
        <f>_xlfn.XLOOKUP(C574,customers!$A$1:$A$1001,customers!$G$1:$G$1001,,0)</f>
        <v>United States</v>
      </c>
      <c r="I574" t="str">
        <f>INDEX(products!$A$1:$G$49, MATCH(orders!$D574, products!$A$1:$A$49, 0), MATCH(orders!I$1, products!$A$1:$G$1, 0))</f>
        <v>Ara</v>
      </c>
      <c r="J574" t="str">
        <f>INDEX(products!$A$1:$G$49, MATCH(orders!$D574, products!$A$1:$A$49, 0), MATCH(orders!J$1, products!$A$1:$G$1, 0))</f>
        <v>D</v>
      </c>
      <c r="K574" s="5">
        <f>INDEX(products!$A$1:$G$49, MATCH(orders!$D574, products!$A$1:$A$49, 0), MATCH(orders!K$1, products!$A$1:$G$1, 0))</f>
        <v>0.2</v>
      </c>
      <c r="L574" s="6">
        <f>INDEX(products!$A$1:$G$49, MATCH(orders!$D574, products!$A$1:$A$49, 0), MATCH(orders!L$1, products!$A$1:$G$1, 0))</f>
        <v>2.9849999999999999</v>
      </c>
      <c r="M574" s="6">
        <f t="shared" si="25"/>
        <v>5.97</v>
      </c>
      <c r="N574" t="str">
        <f t="shared" si="26"/>
        <v>Arabica</v>
      </c>
      <c r="O574" t="str">
        <f t="shared" si="24"/>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_xlfn.XLOOKUP(C575,customers!$A$2:$A$1001,customers!$B$2:$B$1001,,0)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 MATCH(orders!$D575, products!$A$1:$A$49, 0), MATCH(orders!I$1, products!$A$1:$G$1, 0))</f>
        <v>Ara</v>
      </c>
      <c r="J575" t="str">
        <f>INDEX(products!$A$1:$G$49, MATCH(orders!$D575, products!$A$1:$A$49, 0), MATCH(orders!J$1, products!$A$1:$G$1, 0))</f>
        <v>M</v>
      </c>
      <c r="K575" s="5">
        <f>INDEX(products!$A$1:$G$49, MATCH(orders!$D575, products!$A$1:$A$49, 0), MATCH(orders!K$1, products!$A$1:$G$1, 0))</f>
        <v>1</v>
      </c>
      <c r="L575" s="6">
        <f>INDEX(products!$A$1:$G$49, MATCH(orders!$D575, products!$A$1:$A$49, 0), MATCH(orders!L$1, products!$A$1:$G$1, 0))</f>
        <v>11.25</v>
      </c>
      <c r="M575" s="6">
        <f t="shared" si="25"/>
        <v>67.5</v>
      </c>
      <c r="N575" t="str">
        <f t="shared" si="26"/>
        <v>Arabica</v>
      </c>
      <c r="O575" t="str">
        <f t="shared" si="24"/>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_xlfn.XLOOKUP(C576,customers!$A$2:$A$1001,customers!$B$2:$B$1001,,0)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 MATCH(orders!$D576, products!$A$1:$A$49, 0), MATCH(orders!I$1, products!$A$1:$G$1, 0))</f>
        <v>Rob</v>
      </c>
      <c r="J576" t="str">
        <f>INDEX(products!$A$1:$G$49, MATCH(orders!$D576, products!$A$1:$A$49, 0), MATCH(orders!J$1, products!$A$1:$G$1, 0))</f>
        <v>L</v>
      </c>
      <c r="K576" s="5">
        <f>INDEX(products!$A$1:$G$49, MATCH(orders!$D576, products!$A$1:$A$49, 0), MATCH(orders!K$1, products!$A$1:$G$1, 0))</f>
        <v>0.2</v>
      </c>
      <c r="L576" s="6">
        <f>INDEX(products!$A$1:$G$49, MATCH(orders!$D576, products!$A$1:$A$49, 0), MATCH(orders!L$1, products!$A$1:$G$1, 0))</f>
        <v>3.5849999999999995</v>
      </c>
      <c r="M576" s="6">
        <f t="shared" si="25"/>
        <v>21.509999999999998</v>
      </c>
      <c r="N576" t="str">
        <f t="shared" si="26"/>
        <v>Robusta</v>
      </c>
      <c r="O576" t="str">
        <f t="shared" si="24"/>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_xlfn.XLOOKUP(C577,customers!$A$2:$A$1001,customers!$B$2:$B$1001,,0)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 MATCH(orders!$D577, products!$A$1:$A$49, 0), MATCH(orders!I$1, products!$A$1:$G$1, 0))</f>
        <v>Lib</v>
      </c>
      <c r="J577" t="str">
        <f>INDEX(products!$A$1:$G$49, MATCH(orders!$D577, products!$A$1:$A$49, 0), MATCH(orders!J$1, products!$A$1:$G$1, 0))</f>
        <v>M</v>
      </c>
      <c r="K577" s="5">
        <f>INDEX(products!$A$1:$G$49, MATCH(orders!$D577, products!$A$1:$A$49, 0), MATCH(orders!K$1, products!$A$1:$G$1, 0))</f>
        <v>2.5</v>
      </c>
      <c r="L577" s="6">
        <f>INDEX(products!$A$1:$G$49, MATCH(orders!$D577, products!$A$1:$A$49, 0), MATCH(orders!L$1, products!$A$1:$G$1, 0))</f>
        <v>33.464999999999996</v>
      </c>
      <c r="M577" s="6">
        <f t="shared" si="25"/>
        <v>66.929999999999993</v>
      </c>
      <c r="N577" t="str">
        <f t="shared" si="26"/>
        <v>Liberica</v>
      </c>
      <c r="O577" t="str">
        <f t="shared" si="24"/>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_xlfn.XLOOKUP(C578,customers!$A$2:$A$1001,customers!$B$2:$B$1001,,0)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 MATCH(orders!$D578, products!$A$1:$A$49, 0), MATCH(orders!I$1, products!$A$1:$G$1, 0))</f>
        <v>Ara</v>
      </c>
      <c r="J578" t="str">
        <f>INDEX(products!$A$1:$G$49, MATCH(orders!$D578, products!$A$1:$A$49, 0), MATCH(orders!J$1, products!$A$1:$G$1, 0))</f>
        <v>D</v>
      </c>
      <c r="K578" s="5">
        <f>INDEX(products!$A$1:$G$49, MATCH(orders!$D578, products!$A$1:$A$49, 0), MATCH(orders!K$1, products!$A$1:$G$1, 0))</f>
        <v>0.2</v>
      </c>
      <c r="L578" s="6">
        <f>INDEX(products!$A$1:$G$49, MATCH(orders!$D578, products!$A$1:$A$49, 0), MATCH(orders!L$1, products!$A$1:$G$1, 0))</f>
        <v>2.9849999999999999</v>
      </c>
      <c r="M578" s="6">
        <f t="shared" si="25"/>
        <v>17.91</v>
      </c>
      <c r="N578" t="str">
        <f t="shared" si="26"/>
        <v>Arabica</v>
      </c>
      <c r="O578" t="str">
        <f t="shared" ref="O578:O641" si="27">IF(J578="M","Medium",IF(J578="l","Light",IF(J578="d","Dark","")))</f>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_xlfn.XLOOKUP(C579,customers!$A$2:$A$1001,customers!$B$2:$B$1001,,0)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 MATCH(orders!$D579, products!$A$1:$A$49, 0), MATCH(orders!I$1, products!$A$1:$G$1, 0))</f>
        <v>Lib</v>
      </c>
      <c r="J579" t="str">
        <f>INDEX(products!$A$1:$G$49, MATCH(orders!$D579, products!$A$1:$A$49, 0), MATCH(orders!J$1, products!$A$1:$G$1, 0))</f>
        <v>M</v>
      </c>
      <c r="K579" s="5">
        <f>INDEX(products!$A$1:$G$49, MATCH(orders!$D579, products!$A$1:$A$49, 0), MATCH(orders!K$1, products!$A$1:$G$1, 0))</f>
        <v>1</v>
      </c>
      <c r="L579" s="6">
        <f>INDEX(products!$A$1:$G$49, MATCH(orders!$D579, products!$A$1:$A$49, 0), MATCH(orders!L$1, products!$A$1:$G$1, 0))</f>
        <v>14.55</v>
      </c>
      <c r="M579" s="6">
        <f t="shared" ref="M579:M642" si="28">L579*E579</f>
        <v>58.2</v>
      </c>
      <c r="N579" t="str">
        <f t="shared" ref="N579:N642" si="29">IF(I579="Rob","Robusta",IF(I579="Exc","Excelsa",IF(I579="Ara","Arabica",IF(I579="lib","Liberica",""))))</f>
        <v>Liberica</v>
      </c>
      <c r="O579" t="str">
        <f t="shared" si="27"/>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_xlfn.XLOOKUP(C580,customers!$A$2:$A$1001,customers!$B$2:$B$1001,,0)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 MATCH(orders!$D580, products!$A$1:$A$49, 0), MATCH(orders!I$1, products!$A$1:$G$1, 0))</f>
        <v>Exc</v>
      </c>
      <c r="J580" t="str">
        <f>INDEX(products!$A$1:$G$49, MATCH(orders!$D580, products!$A$1:$A$49, 0), MATCH(orders!J$1, products!$A$1:$G$1, 0))</f>
        <v>L</v>
      </c>
      <c r="K580" s="5">
        <f>INDEX(products!$A$1:$G$49, MATCH(orders!$D580, products!$A$1:$A$49, 0), MATCH(orders!K$1, products!$A$1:$G$1, 0))</f>
        <v>0.2</v>
      </c>
      <c r="L580" s="6">
        <f>INDEX(products!$A$1:$G$49, MATCH(orders!$D580, products!$A$1:$A$49, 0), MATCH(orders!L$1, products!$A$1:$G$1, 0))</f>
        <v>4.4550000000000001</v>
      </c>
      <c r="M580" s="6">
        <f t="shared" si="28"/>
        <v>13.365</v>
      </c>
      <c r="N580" t="str">
        <f t="shared" si="29"/>
        <v>Excelsa</v>
      </c>
      <c r="O580" t="str">
        <f t="shared" si="27"/>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_xlfn.XLOOKUP(C581,customers!$A$2:$A$1001,customers!$B$2:$B$1001,,0)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 MATCH(orders!$D581, products!$A$1:$A$49, 0), MATCH(orders!I$1, products!$A$1:$G$1, 0))</f>
        <v>Ara</v>
      </c>
      <c r="J581" t="str">
        <f>INDEX(products!$A$1:$G$49, MATCH(orders!$D581, products!$A$1:$A$49, 0), MATCH(orders!J$1, products!$A$1:$G$1, 0))</f>
        <v>M</v>
      </c>
      <c r="K581" s="5">
        <f>INDEX(products!$A$1:$G$49, MATCH(orders!$D581, products!$A$1:$A$49, 0), MATCH(orders!K$1, products!$A$1:$G$1, 0))</f>
        <v>0.5</v>
      </c>
      <c r="L581" s="6">
        <f>INDEX(products!$A$1:$G$49, MATCH(orders!$D581, products!$A$1:$A$49, 0), MATCH(orders!L$1, products!$A$1:$G$1, 0))</f>
        <v>6.75</v>
      </c>
      <c r="M581" s="6">
        <f t="shared" si="28"/>
        <v>33.75</v>
      </c>
      <c r="N581" t="str">
        <f t="shared" si="29"/>
        <v>Arabica</v>
      </c>
      <c r="O581" t="str">
        <f t="shared" si="27"/>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_xlfn.XLOOKUP(C582,customers!$A$2:$A$1001,customers!$B$2:$B$1001,,0)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 MATCH(orders!$D582, products!$A$1:$A$49, 0), MATCH(orders!I$1, products!$A$1:$G$1, 0))</f>
        <v>Exc</v>
      </c>
      <c r="J582" t="str">
        <f>INDEX(products!$A$1:$G$49, MATCH(orders!$D582, products!$A$1:$A$49, 0), MATCH(orders!J$1, products!$A$1:$G$1, 0))</f>
        <v>L</v>
      </c>
      <c r="K582" s="5">
        <f>INDEX(products!$A$1:$G$49, MATCH(orders!$D582, products!$A$1:$A$49, 0), MATCH(orders!K$1, products!$A$1:$G$1, 0))</f>
        <v>1</v>
      </c>
      <c r="L582" s="6">
        <f>INDEX(products!$A$1:$G$49, MATCH(orders!$D582, products!$A$1:$A$49, 0), MATCH(orders!L$1, products!$A$1:$G$1, 0))</f>
        <v>14.85</v>
      </c>
      <c r="M582" s="6">
        <f t="shared" si="28"/>
        <v>44.55</v>
      </c>
      <c r="N582" t="str">
        <f t="shared" si="29"/>
        <v>Excelsa</v>
      </c>
      <c r="O582" t="str">
        <f t="shared" si="27"/>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_xlfn.XLOOKUP(C583,customers!$A$2:$A$1001,customers!$B$2:$B$1001,,0)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 MATCH(orders!$D583, products!$A$1:$A$49, 0), MATCH(orders!I$1, products!$A$1:$G$1, 0))</f>
        <v>Exc</v>
      </c>
      <c r="J583" t="str">
        <f>INDEX(products!$A$1:$G$49, MATCH(orders!$D583, products!$A$1:$A$49, 0), MATCH(orders!J$1, products!$A$1:$G$1, 0))</f>
        <v>L</v>
      </c>
      <c r="K583" s="5">
        <f>INDEX(products!$A$1:$G$49, MATCH(orders!$D583, products!$A$1:$A$49, 0), MATCH(orders!K$1, products!$A$1:$G$1, 0))</f>
        <v>0.5</v>
      </c>
      <c r="L583" s="6">
        <f>INDEX(products!$A$1:$G$49, MATCH(orders!$D583, products!$A$1:$A$49, 0), MATCH(orders!L$1, products!$A$1:$G$1, 0))</f>
        <v>8.91</v>
      </c>
      <c r="M583" s="6">
        <f t="shared" si="28"/>
        <v>44.55</v>
      </c>
      <c r="N583" t="str">
        <f t="shared" si="29"/>
        <v>Excelsa</v>
      </c>
      <c r="O583" t="str">
        <f t="shared" si="27"/>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_xlfn.XLOOKUP(C584,customers!$A$2:$A$1001,customers!$B$2:$B$1001,,0)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 MATCH(orders!$D584, products!$A$1:$A$49, 0), MATCH(orders!I$1, products!$A$1:$G$1, 0))</f>
        <v>Exc</v>
      </c>
      <c r="J584" t="str">
        <f>INDEX(products!$A$1:$G$49, MATCH(orders!$D584, products!$A$1:$A$49, 0), MATCH(orders!J$1, products!$A$1:$G$1, 0))</f>
        <v>D</v>
      </c>
      <c r="K584" s="5">
        <f>INDEX(products!$A$1:$G$49, MATCH(orders!$D584, products!$A$1:$A$49, 0), MATCH(orders!K$1, products!$A$1:$G$1, 0))</f>
        <v>1</v>
      </c>
      <c r="L584" s="6">
        <f>INDEX(products!$A$1:$G$49, MATCH(orders!$D584, products!$A$1:$A$49, 0), MATCH(orders!L$1, products!$A$1:$G$1, 0))</f>
        <v>12.15</v>
      </c>
      <c r="M584" s="6">
        <f t="shared" si="28"/>
        <v>60.75</v>
      </c>
      <c r="N584" t="str">
        <f t="shared" si="29"/>
        <v>Excelsa</v>
      </c>
      <c r="O584" t="str">
        <f t="shared" si="27"/>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_xlfn.XLOOKUP(C585,customers!$A$2:$A$1001,customers!$B$2:$B$1001,,0)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 MATCH(orders!$D585, products!$A$1:$A$49, 0), MATCH(orders!I$1, products!$A$1:$G$1, 0))</f>
        <v>Rob</v>
      </c>
      <c r="J585" t="str">
        <f>INDEX(products!$A$1:$G$49, MATCH(orders!$D585, products!$A$1:$A$49, 0), MATCH(orders!J$1, products!$A$1:$G$1, 0))</f>
        <v>L</v>
      </c>
      <c r="K585" s="5">
        <f>INDEX(products!$A$1:$G$49, MATCH(orders!$D585, products!$A$1:$A$49, 0), MATCH(orders!K$1, products!$A$1:$G$1, 0))</f>
        <v>0.2</v>
      </c>
      <c r="L585" s="6">
        <f>INDEX(products!$A$1:$G$49, MATCH(orders!$D585, products!$A$1:$A$49, 0), MATCH(orders!L$1, products!$A$1:$G$1, 0))</f>
        <v>3.5849999999999995</v>
      </c>
      <c r="M585" s="6">
        <f t="shared" si="28"/>
        <v>3.5849999999999995</v>
      </c>
      <c r="N585" t="str">
        <f t="shared" si="29"/>
        <v>Robusta</v>
      </c>
      <c r="O585" t="str">
        <f t="shared" si="27"/>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_xlfn.XLOOKUP(C586,customers!$A$2:$A$1001,customers!$B$2:$B$1001,,0)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 MATCH(orders!$D586, products!$A$1:$A$49, 0), MATCH(orders!I$1, products!$A$1:$G$1, 0))</f>
        <v>Rob</v>
      </c>
      <c r="J586" t="str">
        <f>INDEX(products!$A$1:$G$49, MATCH(orders!$D586, products!$A$1:$A$49, 0), MATCH(orders!J$1, products!$A$1:$G$1, 0))</f>
        <v>L</v>
      </c>
      <c r="K586" s="5">
        <f>INDEX(products!$A$1:$G$49, MATCH(orders!$D586, products!$A$1:$A$49, 0), MATCH(orders!K$1, products!$A$1:$G$1, 0))</f>
        <v>0.2</v>
      </c>
      <c r="L586" s="6">
        <f>INDEX(products!$A$1:$G$49, MATCH(orders!$D586, products!$A$1:$A$49, 0), MATCH(orders!L$1, products!$A$1:$G$1, 0))</f>
        <v>3.5849999999999995</v>
      </c>
      <c r="M586" s="6">
        <f t="shared" si="28"/>
        <v>21.509999999999998</v>
      </c>
      <c r="N586" t="str">
        <f t="shared" si="29"/>
        <v>Robusta</v>
      </c>
      <c r="O586" t="str">
        <f t="shared" si="27"/>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_xlfn.XLOOKUP(C587,customers!$A$2:$A$1001,customers!$B$2:$B$1001,,0)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 MATCH(orders!$D587, products!$A$1:$A$49, 0), MATCH(orders!I$1, products!$A$1:$G$1, 0))</f>
        <v>Exc</v>
      </c>
      <c r="J587" t="str">
        <f>INDEX(products!$A$1:$G$49, MATCH(orders!$D587, products!$A$1:$A$49, 0), MATCH(orders!J$1, products!$A$1:$G$1, 0))</f>
        <v>M</v>
      </c>
      <c r="K587" s="5">
        <f>INDEX(products!$A$1:$G$49, MATCH(orders!$D587, products!$A$1:$A$49, 0), MATCH(orders!K$1, products!$A$1:$G$1, 0))</f>
        <v>0.5</v>
      </c>
      <c r="L587" s="6">
        <f>INDEX(products!$A$1:$G$49, MATCH(orders!$D587, products!$A$1:$A$49, 0), MATCH(orders!L$1, products!$A$1:$G$1, 0))</f>
        <v>8.25</v>
      </c>
      <c r="M587" s="6">
        <f t="shared" si="28"/>
        <v>16.5</v>
      </c>
      <c r="N587" t="str">
        <f t="shared" si="29"/>
        <v>Excelsa</v>
      </c>
      <c r="O587" t="str">
        <f t="shared" si="27"/>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_xlfn.XLOOKUP(C588,customers!$A$2:$A$1001,customers!$B$2:$B$1001,,0)</f>
        <v>Zilvia Claisse</v>
      </c>
      <c r="G588" s="2" t="str">
        <f>IF(_xlfn.XLOOKUP(C588,customers!$A$1:$A$1001,customers!$C$1:$C$1001,,0)=0,"",_xlfn.XLOOKUP(C588,customers!$A$1:$A$1001,customers!$C$1:$C$1001,,0))</f>
        <v/>
      </c>
      <c r="H588" s="2" t="str">
        <f>_xlfn.XLOOKUP(C588,customers!$A$1:$A$1001,customers!$G$1:$G$1001,,0)</f>
        <v>United States</v>
      </c>
      <c r="I588" t="str">
        <f>INDEX(products!$A$1:$G$49, MATCH(orders!$D588, products!$A$1:$A$49, 0), MATCH(orders!I$1, products!$A$1:$G$1, 0))</f>
        <v>Rob</v>
      </c>
      <c r="J588" t="str">
        <f>INDEX(products!$A$1:$G$49, MATCH(orders!$D588, products!$A$1:$A$49, 0), MATCH(orders!J$1, products!$A$1:$G$1, 0))</f>
        <v>L</v>
      </c>
      <c r="K588" s="5">
        <f>INDEX(products!$A$1:$G$49, MATCH(orders!$D588, products!$A$1:$A$49, 0), MATCH(orders!K$1, products!$A$1:$G$1, 0))</f>
        <v>2.5</v>
      </c>
      <c r="L588" s="6">
        <f>INDEX(products!$A$1:$G$49, MATCH(orders!$D588, products!$A$1:$A$49, 0), MATCH(orders!L$1, products!$A$1:$G$1, 0))</f>
        <v>27.484999999999996</v>
      </c>
      <c r="M588" s="6">
        <f t="shared" si="28"/>
        <v>82.454999999999984</v>
      </c>
      <c r="N588" t="str">
        <f t="shared" si="29"/>
        <v>Robusta</v>
      </c>
      <c r="O588" t="str">
        <f t="shared" si="27"/>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_xlfn.XLOOKUP(C589,customers!$A$2:$A$1001,customers!$B$2:$B$1001,,0)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 MATCH(orders!$D589, products!$A$1:$A$49, 0), MATCH(orders!I$1, products!$A$1:$G$1, 0))</f>
        <v>Lib</v>
      </c>
      <c r="J589" t="str">
        <f>INDEX(products!$A$1:$G$49, MATCH(orders!$D589, products!$A$1:$A$49, 0), MATCH(orders!J$1, products!$A$1:$G$1, 0))</f>
        <v>D</v>
      </c>
      <c r="K589" s="5">
        <f>INDEX(products!$A$1:$G$49, MATCH(orders!$D589, products!$A$1:$A$49, 0), MATCH(orders!K$1, products!$A$1:$G$1, 0))</f>
        <v>0.5</v>
      </c>
      <c r="L589" s="6">
        <f>INDEX(products!$A$1:$G$49, MATCH(orders!$D589, products!$A$1:$A$49, 0), MATCH(orders!L$1, products!$A$1:$G$1, 0))</f>
        <v>7.77</v>
      </c>
      <c r="M589" s="6">
        <f t="shared" si="28"/>
        <v>7.77</v>
      </c>
      <c r="N589" t="str">
        <f t="shared" si="29"/>
        <v>Liberica</v>
      </c>
      <c r="O589" t="str">
        <f t="shared" si="27"/>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_xlfn.XLOOKUP(C590,customers!$A$2:$A$1001,customers!$B$2:$B$1001,,0)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 MATCH(orders!$D590, products!$A$1:$A$49, 0), MATCH(orders!I$1, products!$A$1:$G$1, 0))</f>
        <v>Rob</v>
      </c>
      <c r="J590" t="str">
        <f>INDEX(products!$A$1:$G$49, MATCH(orders!$D590, products!$A$1:$A$49, 0), MATCH(orders!J$1, products!$A$1:$G$1, 0))</f>
        <v>M</v>
      </c>
      <c r="K590" s="5">
        <f>INDEX(products!$A$1:$G$49, MATCH(orders!$D590, products!$A$1:$A$49, 0), MATCH(orders!K$1, products!$A$1:$G$1, 0))</f>
        <v>0.5</v>
      </c>
      <c r="L590" s="6">
        <f>INDEX(products!$A$1:$G$49, MATCH(orders!$D590, products!$A$1:$A$49, 0), MATCH(orders!L$1, products!$A$1:$G$1, 0))</f>
        <v>5.97</v>
      </c>
      <c r="M590" s="6">
        <f t="shared" si="28"/>
        <v>11.94</v>
      </c>
      <c r="N590" t="str">
        <f t="shared" si="29"/>
        <v>Robusta</v>
      </c>
      <c r="O590" t="str">
        <f t="shared" si="27"/>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_xlfn.XLOOKUP(C591,customers!$A$2:$A$1001,customers!$B$2:$B$1001,,0)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 MATCH(orders!$D591, products!$A$1:$A$49, 0), MATCH(orders!I$1, products!$A$1:$G$1, 0))</f>
        <v>Exc</v>
      </c>
      <c r="J591" t="str">
        <f>INDEX(products!$A$1:$G$49, MATCH(orders!$D591, products!$A$1:$A$49, 0), MATCH(orders!J$1, products!$A$1:$G$1, 0))</f>
        <v>L</v>
      </c>
      <c r="K591" s="5">
        <f>INDEX(products!$A$1:$G$49, MATCH(orders!$D591, products!$A$1:$A$49, 0), MATCH(orders!K$1, products!$A$1:$G$1, 0))</f>
        <v>2.5</v>
      </c>
      <c r="L591" s="6">
        <f>INDEX(products!$A$1:$G$49, MATCH(orders!$D591, products!$A$1:$A$49, 0), MATCH(orders!L$1, products!$A$1:$G$1, 0))</f>
        <v>34.154999999999994</v>
      </c>
      <c r="M591" s="6">
        <f t="shared" si="28"/>
        <v>204.92999999999995</v>
      </c>
      <c r="N591" t="str">
        <f t="shared" si="29"/>
        <v>Excelsa</v>
      </c>
      <c r="O591" t="str">
        <f t="shared" si="27"/>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_xlfn.XLOOKUP(C592,customers!$A$2:$A$1001,customers!$B$2:$B$1001,,0)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 MATCH(orders!$D592, products!$A$1:$A$49, 0), MATCH(orders!I$1, products!$A$1:$G$1, 0))</f>
        <v>Exc</v>
      </c>
      <c r="J592" t="str">
        <f>INDEX(products!$A$1:$G$49, MATCH(orders!$D592, products!$A$1:$A$49, 0), MATCH(orders!J$1, products!$A$1:$G$1, 0))</f>
        <v>M</v>
      </c>
      <c r="K592" s="5">
        <f>INDEX(products!$A$1:$G$49, MATCH(orders!$D592, products!$A$1:$A$49, 0), MATCH(orders!K$1, products!$A$1:$G$1, 0))</f>
        <v>2.5</v>
      </c>
      <c r="L592" s="6">
        <f>INDEX(products!$A$1:$G$49, MATCH(orders!$D592, products!$A$1:$A$49, 0), MATCH(orders!L$1, products!$A$1:$G$1, 0))</f>
        <v>31.624999999999996</v>
      </c>
      <c r="M592" s="6">
        <f t="shared" si="28"/>
        <v>63.249999999999993</v>
      </c>
      <c r="N592" t="str">
        <f t="shared" si="29"/>
        <v>Excelsa</v>
      </c>
      <c r="O592" t="str">
        <f t="shared" si="27"/>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_xlfn.XLOOKUP(C593,customers!$A$2:$A$1001,customers!$B$2:$B$1001,,0)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 MATCH(orders!$D593, products!$A$1:$A$49, 0), MATCH(orders!I$1, products!$A$1:$G$1, 0))</f>
        <v>Rob</v>
      </c>
      <c r="J593" t="str">
        <f>INDEX(products!$A$1:$G$49, MATCH(orders!$D593, products!$A$1:$A$49, 0), MATCH(orders!J$1, products!$A$1:$G$1, 0))</f>
        <v>D</v>
      </c>
      <c r="K593" s="5">
        <f>INDEX(products!$A$1:$G$49, MATCH(orders!$D593, products!$A$1:$A$49, 0), MATCH(orders!K$1, products!$A$1:$G$1, 0))</f>
        <v>0.2</v>
      </c>
      <c r="L593" s="6">
        <f>INDEX(products!$A$1:$G$49, MATCH(orders!$D593, products!$A$1:$A$49, 0), MATCH(orders!L$1, products!$A$1:$G$1, 0))</f>
        <v>2.6849999999999996</v>
      </c>
      <c r="M593" s="6">
        <f t="shared" si="28"/>
        <v>8.0549999999999997</v>
      </c>
      <c r="N593" t="str">
        <f t="shared" si="29"/>
        <v>Robusta</v>
      </c>
      <c r="O593" t="str">
        <f t="shared" si="27"/>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_xlfn.XLOOKUP(C594,customers!$A$2:$A$1001,customers!$B$2:$B$1001,,0)</f>
        <v>Kylie Mowat</v>
      </c>
      <c r="G594" s="2" t="str">
        <f>IF(_xlfn.XLOOKUP(C594,customers!$A$1:$A$1001,customers!$C$1:$C$1001,,0)=0,"",_xlfn.XLOOKUP(C594,customers!$A$1:$A$1001,customers!$C$1:$C$1001,,0))</f>
        <v/>
      </c>
      <c r="H594" s="2" t="str">
        <f>_xlfn.XLOOKUP(C594,customers!$A$1:$A$1001,customers!$G$1:$G$1001,,0)</f>
        <v>United States</v>
      </c>
      <c r="I594" t="str">
        <f>INDEX(products!$A$1:$G$49, MATCH(orders!$D594, products!$A$1:$A$49, 0), MATCH(orders!I$1, products!$A$1:$G$1, 0))</f>
        <v>Ara</v>
      </c>
      <c r="J594" t="str">
        <f>INDEX(products!$A$1:$G$49, MATCH(orders!$D594, products!$A$1:$A$49, 0), MATCH(orders!J$1, products!$A$1:$G$1, 0))</f>
        <v>M</v>
      </c>
      <c r="K594" s="5">
        <f>INDEX(products!$A$1:$G$49, MATCH(orders!$D594, products!$A$1:$A$49, 0), MATCH(orders!K$1, products!$A$1:$G$1, 0))</f>
        <v>2.5</v>
      </c>
      <c r="L594" s="6">
        <f>INDEX(products!$A$1:$G$49, MATCH(orders!$D594, products!$A$1:$A$49, 0), MATCH(orders!L$1, products!$A$1:$G$1, 0))</f>
        <v>25.874999999999996</v>
      </c>
      <c r="M594" s="6">
        <f t="shared" si="28"/>
        <v>51.749999999999993</v>
      </c>
      <c r="N594" t="str">
        <f t="shared" si="29"/>
        <v>Arabica</v>
      </c>
      <c r="O594" t="str">
        <f t="shared" si="27"/>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_xlfn.XLOOKUP(C595,customers!$A$2:$A$1001,customers!$B$2:$B$1001,,0)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 MATCH(orders!$D595, products!$A$1:$A$49, 0), MATCH(orders!I$1, products!$A$1:$G$1, 0))</f>
        <v>Exc</v>
      </c>
      <c r="J595" t="str">
        <f>INDEX(products!$A$1:$G$49, MATCH(orders!$D595, products!$A$1:$A$49, 0), MATCH(orders!J$1, products!$A$1:$G$1, 0))</f>
        <v>D</v>
      </c>
      <c r="K595" s="5">
        <f>INDEX(products!$A$1:$G$49, MATCH(orders!$D595, products!$A$1:$A$49, 0), MATCH(orders!K$1, products!$A$1:$G$1, 0))</f>
        <v>2.5</v>
      </c>
      <c r="L595" s="6">
        <f>INDEX(products!$A$1:$G$49, MATCH(orders!$D595, products!$A$1:$A$49, 0), MATCH(orders!L$1, products!$A$1:$G$1, 0))</f>
        <v>27.945</v>
      </c>
      <c r="M595" s="6">
        <f t="shared" si="28"/>
        <v>27.945</v>
      </c>
      <c r="N595" t="str">
        <f t="shared" si="29"/>
        <v>Excelsa</v>
      </c>
      <c r="O595" t="str">
        <f t="shared" si="27"/>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_xlfn.XLOOKUP(C596,customers!$A$2:$A$1001,customers!$B$2:$B$1001,,0)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 MATCH(orders!$D596, products!$A$1:$A$49, 0), MATCH(orders!I$1, products!$A$1:$G$1, 0))</f>
        <v>Ara</v>
      </c>
      <c r="J596" t="str">
        <f>INDEX(products!$A$1:$G$49, MATCH(orders!$D596, products!$A$1:$A$49, 0), MATCH(orders!J$1, products!$A$1:$G$1, 0))</f>
        <v>L</v>
      </c>
      <c r="K596" s="5">
        <f>INDEX(products!$A$1:$G$49, MATCH(orders!$D596, products!$A$1:$A$49, 0), MATCH(orders!K$1, products!$A$1:$G$1, 0))</f>
        <v>2.5</v>
      </c>
      <c r="L596" s="6">
        <f>INDEX(products!$A$1:$G$49, MATCH(orders!$D596, products!$A$1:$A$49, 0), MATCH(orders!L$1, products!$A$1:$G$1, 0))</f>
        <v>29.784999999999997</v>
      </c>
      <c r="M596" s="6">
        <f t="shared" si="28"/>
        <v>59.569999999999993</v>
      </c>
      <c r="N596" t="str">
        <f t="shared" si="29"/>
        <v>Arabica</v>
      </c>
      <c r="O596" t="str">
        <f t="shared" si="27"/>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_xlfn.XLOOKUP(C597,customers!$A$2:$A$1001,customers!$B$2:$B$1001,,0)</f>
        <v>Darby Dummer</v>
      </c>
      <c r="G597" s="2" t="str">
        <f>IF(_xlfn.XLOOKUP(C597,customers!$A$1:$A$1001,customers!$C$1:$C$1001,,0)=0,"",_xlfn.XLOOKUP(C597,customers!$A$1:$A$1001,customers!$C$1:$C$1001,,0))</f>
        <v/>
      </c>
      <c r="H597" s="2" t="str">
        <f>_xlfn.XLOOKUP(C597,customers!$A$1:$A$1001,customers!$G$1:$G$1001,,0)</f>
        <v>United Kingdom</v>
      </c>
      <c r="I597" t="str">
        <f>INDEX(products!$A$1:$G$49, MATCH(orders!$D597, products!$A$1:$A$49, 0), MATCH(orders!I$1, products!$A$1:$G$1, 0))</f>
        <v>Exc</v>
      </c>
      <c r="J597" t="str">
        <f>INDEX(products!$A$1:$G$49, MATCH(orders!$D597, products!$A$1:$A$49, 0), MATCH(orders!J$1, products!$A$1:$G$1, 0))</f>
        <v>L</v>
      </c>
      <c r="K597" s="5">
        <f>INDEX(products!$A$1:$G$49, MATCH(orders!$D597, products!$A$1:$A$49, 0), MATCH(orders!K$1, products!$A$1:$G$1, 0))</f>
        <v>1</v>
      </c>
      <c r="L597" s="6">
        <f>INDEX(products!$A$1:$G$49, MATCH(orders!$D597, products!$A$1:$A$49, 0), MATCH(orders!L$1, products!$A$1:$G$1, 0))</f>
        <v>14.85</v>
      </c>
      <c r="M597" s="6">
        <f t="shared" si="28"/>
        <v>14.85</v>
      </c>
      <c r="N597" t="str">
        <f t="shared" si="29"/>
        <v>Excelsa</v>
      </c>
      <c r="O597" t="str">
        <f t="shared" si="27"/>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_xlfn.XLOOKUP(C598,customers!$A$2:$A$1001,customers!$B$2:$B$1001,,0)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 MATCH(orders!$D598, products!$A$1:$A$49, 0), MATCH(orders!I$1, products!$A$1:$G$1, 0))</f>
        <v>Ara</v>
      </c>
      <c r="J598" t="str">
        <f>INDEX(products!$A$1:$G$49, MATCH(orders!$D598, products!$A$1:$A$49, 0), MATCH(orders!J$1, products!$A$1:$G$1, 0))</f>
        <v>M</v>
      </c>
      <c r="K598" s="5">
        <f>INDEX(products!$A$1:$G$49, MATCH(orders!$D598, products!$A$1:$A$49, 0), MATCH(orders!K$1, products!$A$1:$G$1, 0))</f>
        <v>0.5</v>
      </c>
      <c r="L598" s="6">
        <f>INDEX(products!$A$1:$G$49, MATCH(orders!$D598, products!$A$1:$A$49, 0), MATCH(orders!L$1, products!$A$1:$G$1, 0))</f>
        <v>6.75</v>
      </c>
      <c r="M598" s="6">
        <f t="shared" si="28"/>
        <v>33.75</v>
      </c>
      <c r="N598" t="str">
        <f t="shared" si="29"/>
        <v>Arabica</v>
      </c>
      <c r="O598" t="str">
        <f t="shared" si="27"/>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_xlfn.XLOOKUP(C599,customers!$A$2:$A$1001,customers!$B$2:$B$1001,,0)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 MATCH(orders!$D599, products!$A$1:$A$49, 0), MATCH(orders!I$1, products!$A$1:$G$1, 0))</f>
        <v>Lib</v>
      </c>
      <c r="J599" t="str">
        <f>INDEX(products!$A$1:$G$49, MATCH(orders!$D599, products!$A$1:$A$49, 0), MATCH(orders!J$1, products!$A$1:$G$1, 0))</f>
        <v>L</v>
      </c>
      <c r="K599" s="5">
        <f>INDEX(products!$A$1:$G$49, MATCH(orders!$D599, products!$A$1:$A$49, 0), MATCH(orders!K$1, products!$A$1:$G$1, 0))</f>
        <v>2.5</v>
      </c>
      <c r="L599" s="6">
        <f>INDEX(products!$A$1:$G$49, MATCH(orders!$D599, products!$A$1:$A$49, 0), MATCH(orders!L$1, products!$A$1:$G$1, 0))</f>
        <v>36.454999999999998</v>
      </c>
      <c r="M599" s="6">
        <f t="shared" si="28"/>
        <v>145.82</v>
      </c>
      <c r="N599" t="str">
        <f t="shared" si="29"/>
        <v>Liberica</v>
      </c>
      <c r="O599" t="str">
        <f t="shared" si="27"/>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_xlfn.XLOOKUP(C600,customers!$A$2:$A$1001,customers!$B$2:$B$1001,,0)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 MATCH(orders!$D600, products!$A$1:$A$49, 0), MATCH(orders!I$1, products!$A$1:$G$1, 0))</f>
        <v>Rob</v>
      </c>
      <c r="J600" t="str">
        <f>INDEX(products!$A$1:$G$49, MATCH(orders!$D600, products!$A$1:$A$49, 0), MATCH(orders!J$1, products!$A$1:$G$1, 0))</f>
        <v>M</v>
      </c>
      <c r="K600" s="5">
        <f>INDEX(products!$A$1:$G$49, MATCH(orders!$D600, products!$A$1:$A$49, 0), MATCH(orders!K$1, products!$A$1:$G$1, 0))</f>
        <v>0.2</v>
      </c>
      <c r="L600" s="6">
        <f>INDEX(products!$A$1:$G$49, MATCH(orders!$D600, products!$A$1:$A$49, 0), MATCH(orders!L$1, products!$A$1:$G$1, 0))</f>
        <v>2.9849999999999999</v>
      </c>
      <c r="M600" s="6">
        <f t="shared" si="28"/>
        <v>11.94</v>
      </c>
      <c r="N600" t="str">
        <f t="shared" si="29"/>
        <v>Robusta</v>
      </c>
      <c r="O600" t="str">
        <f t="shared" si="27"/>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_xlfn.XLOOKUP(C601,customers!$A$2:$A$1001,customers!$B$2:$B$1001,,0)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 MATCH(orders!$D601, products!$A$1:$A$49, 0), MATCH(orders!I$1, products!$A$1:$G$1, 0))</f>
        <v>Ara</v>
      </c>
      <c r="J601" t="str">
        <f>INDEX(products!$A$1:$G$49, MATCH(orders!$D601, products!$A$1:$A$49, 0), MATCH(orders!J$1, products!$A$1:$G$1, 0))</f>
        <v>D</v>
      </c>
      <c r="K601" s="5">
        <f>INDEX(products!$A$1:$G$49, MATCH(orders!$D601, products!$A$1:$A$49, 0), MATCH(orders!K$1, products!$A$1:$G$1, 0))</f>
        <v>0.2</v>
      </c>
      <c r="L601" s="6">
        <f>INDEX(products!$A$1:$G$49, MATCH(orders!$D601, products!$A$1:$A$49, 0), MATCH(orders!L$1, products!$A$1:$G$1, 0))</f>
        <v>2.9849999999999999</v>
      </c>
      <c r="M601" s="6">
        <f t="shared" si="28"/>
        <v>11.94</v>
      </c>
      <c r="N601" t="str">
        <f t="shared" si="29"/>
        <v>Arabica</v>
      </c>
      <c r="O601" t="str">
        <f t="shared" si="27"/>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_xlfn.XLOOKUP(C602,customers!$A$2:$A$1001,customers!$B$2:$B$1001,,0)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 MATCH(orders!$D602, products!$A$1:$A$49, 0), MATCH(orders!I$1, products!$A$1:$G$1, 0))</f>
        <v>Lib</v>
      </c>
      <c r="J602" t="str">
        <f>INDEX(products!$A$1:$G$49, MATCH(orders!$D602, products!$A$1:$A$49, 0), MATCH(orders!J$1, products!$A$1:$G$1, 0))</f>
        <v>D</v>
      </c>
      <c r="K602" s="5">
        <f>INDEX(products!$A$1:$G$49, MATCH(orders!$D602, products!$A$1:$A$49, 0), MATCH(orders!K$1, products!$A$1:$G$1, 0))</f>
        <v>0.5</v>
      </c>
      <c r="L602" s="6">
        <f>INDEX(products!$A$1:$G$49, MATCH(orders!$D602, products!$A$1:$A$49, 0), MATCH(orders!L$1, products!$A$1:$G$1, 0))</f>
        <v>7.77</v>
      </c>
      <c r="M602" s="6">
        <f t="shared" si="28"/>
        <v>7.77</v>
      </c>
      <c r="N602" t="str">
        <f t="shared" si="29"/>
        <v>Liberica</v>
      </c>
      <c r="O602" t="str">
        <f t="shared" si="27"/>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_xlfn.XLOOKUP(C603,customers!$A$2:$A$1001,customers!$B$2:$B$1001,,0)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 MATCH(orders!$D603, products!$A$1:$A$49, 0), MATCH(orders!I$1, products!$A$1:$G$1, 0))</f>
        <v>Rob</v>
      </c>
      <c r="J603" t="str">
        <f>INDEX(products!$A$1:$G$49, MATCH(orders!$D603, products!$A$1:$A$49, 0), MATCH(orders!J$1, products!$A$1:$G$1, 0))</f>
        <v>L</v>
      </c>
      <c r="K603" s="5">
        <f>INDEX(products!$A$1:$G$49, MATCH(orders!$D603, products!$A$1:$A$49, 0), MATCH(orders!K$1, products!$A$1:$G$1, 0))</f>
        <v>2.5</v>
      </c>
      <c r="L603" s="6">
        <f>INDEX(products!$A$1:$G$49, MATCH(orders!$D603, products!$A$1:$A$49, 0), MATCH(orders!L$1, products!$A$1:$G$1, 0))</f>
        <v>27.484999999999996</v>
      </c>
      <c r="M603" s="6">
        <f t="shared" si="28"/>
        <v>109.93999999999998</v>
      </c>
      <c r="N603" t="str">
        <f t="shared" si="29"/>
        <v>Robusta</v>
      </c>
      <c r="O603" t="str">
        <f t="shared" si="27"/>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_xlfn.XLOOKUP(C604,customers!$A$2:$A$1001,customers!$B$2:$B$1001,,0)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 MATCH(orders!$D604, products!$A$1:$A$49, 0), MATCH(orders!I$1, products!$A$1:$G$1, 0))</f>
        <v>Exc</v>
      </c>
      <c r="J604" t="str">
        <f>INDEX(products!$A$1:$G$49, MATCH(orders!$D604, products!$A$1:$A$49, 0), MATCH(orders!J$1, products!$A$1:$G$1, 0))</f>
        <v>L</v>
      </c>
      <c r="K604" s="5">
        <f>INDEX(products!$A$1:$G$49, MATCH(orders!$D604, products!$A$1:$A$49, 0), MATCH(orders!K$1, products!$A$1:$G$1, 0))</f>
        <v>0.2</v>
      </c>
      <c r="L604" s="6">
        <f>INDEX(products!$A$1:$G$49, MATCH(orders!$D604, products!$A$1:$A$49, 0), MATCH(orders!L$1, products!$A$1:$G$1, 0))</f>
        <v>4.4550000000000001</v>
      </c>
      <c r="M604" s="6">
        <f t="shared" si="28"/>
        <v>22.274999999999999</v>
      </c>
      <c r="N604" t="str">
        <f t="shared" si="29"/>
        <v>Excelsa</v>
      </c>
      <c r="O604" t="str">
        <f t="shared" si="27"/>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_xlfn.XLOOKUP(C605,customers!$A$2:$A$1001,customers!$B$2:$B$1001,,0)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 MATCH(orders!$D605, products!$A$1:$A$49, 0), MATCH(orders!I$1, products!$A$1:$G$1, 0))</f>
        <v>Rob</v>
      </c>
      <c r="J605" t="str">
        <f>INDEX(products!$A$1:$G$49, MATCH(orders!$D605, products!$A$1:$A$49, 0), MATCH(orders!J$1, products!$A$1:$G$1, 0))</f>
        <v>M</v>
      </c>
      <c r="K605" s="5">
        <f>INDEX(products!$A$1:$G$49, MATCH(orders!$D605, products!$A$1:$A$49, 0), MATCH(orders!K$1, products!$A$1:$G$1, 0))</f>
        <v>0.2</v>
      </c>
      <c r="L605" s="6">
        <f>INDEX(products!$A$1:$G$49, MATCH(orders!$D605, products!$A$1:$A$49, 0), MATCH(orders!L$1, products!$A$1:$G$1, 0))</f>
        <v>2.9849999999999999</v>
      </c>
      <c r="M605" s="6">
        <f t="shared" si="28"/>
        <v>8.9550000000000001</v>
      </c>
      <c r="N605" t="str">
        <f t="shared" si="29"/>
        <v>Robusta</v>
      </c>
      <c r="O605" t="str">
        <f t="shared" si="27"/>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_xlfn.XLOOKUP(C606,customers!$A$2:$A$1001,customers!$B$2:$B$1001,,0)</f>
        <v>Jorge Bettison</v>
      </c>
      <c r="G606" s="2" t="str">
        <f>IF(_xlfn.XLOOKUP(C606,customers!$A$1:$A$1001,customers!$C$1:$C$1001,,0)=0,"",_xlfn.XLOOKUP(C606,customers!$A$1:$A$1001,customers!$C$1:$C$1001,,0))</f>
        <v/>
      </c>
      <c r="H606" s="2" t="str">
        <f>_xlfn.XLOOKUP(C606,customers!$A$1:$A$1001,customers!$G$1:$G$1001,,0)</f>
        <v>Ireland</v>
      </c>
      <c r="I606" t="str">
        <f>INDEX(products!$A$1:$G$49, MATCH(orders!$D606, products!$A$1:$A$49, 0), MATCH(orders!I$1, products!$A$1:$G$1, 0))</f>
        <v>Lib</v>
      </c>
      <c r="J606" t="str">
        <f>INDEX(products!$A$1:$G$49, MATCH(orders!$D606, products!$A$1:$A$49, 0), MATCH(orders!J$1, products!$A$1:$G$1, 0))</f>
        <v>D</v>
      </c>
      <c r="K606" s="5">
        <f>INDEX(products!$A$1:$G$49, MATCH(orders!$D606, products!$A$1:$A$49, 0), MATCH(orders!K$1, products!$A$1:$G$1, 0))</f>
        <v>2.5</v>
      </c>
      <c r="L606" s="6">
        <f>INDEX(products!$A$1:$G$49, MATCH(orders!$D606, products!$A$1:$A$49, 0), MATCH(orders!L$1, products!$A$1:$G$1, 0))</f>
        <v>29.784999999999997</v>
      </c>
      <c r="M606" s="6">
        <f t="shared" si="28"/>
        <v>119.13999999999999</v>
      </c>
      <c r="N606" t="str">
        <f t="shared" si="29"/>
        <v>Liberica</v>
      </c>
      <c r="O606" t="str">
        <f t="shared" si="27"/>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_xlfn.XLOOKUP(C607,customers!$A$2:$A$1001,customers!$B$2:$B$1001,,0)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 MATCH(orders!$D607, products!$A$1:$A$49, 0), MATCH(orders!I$1, products!$A$1:$G$1, 0))</f>
        <v>Ara</v>
      </c>
      <c r="J607" t="str">
        <f>INDEX(products!$A$1:$G$49, MATCH(orders!$D607, products!$A$1:$A$49, 0), MATCH(orders!J$1, products!$A$1:$G$1, 0))</f>
        <v>L</v>
      </c>
      <c r="K607" s="5">
        <f>INDEX(products!$A$1:$G$49, MATCH(orders!$D607, products!$A$1:$A$49, 0), MATCH(orders!K$1, products!$A$1:$G$1, 0))</f>
        <v>2.5</v>
      </c>
      <c r="L607" s="6">
        <f>INDEX(products!$A$1:$G$49, MATCH(orders!$D607, products!$A$1:$A$49, 0), MATCH(orders!L$1, products!$A$1:$G$1, 0))</f>
        <v>29.784999999999997</v>
      </c>
      <c r="M607" s="6">
        <f t="shared" si="28"/>
        <v>148.92499999999998</v>
      </c>
      <c r="N607" t="str">
        <f t="shared" si="29"/>
        <v>Arabica</v>
      </c>
      <c r="O607" t="str">
        <f t="shared" si="27"/>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_xlfn.XLOOKUP(C608,customers!$A$2:$A$1001,customers!$B$2:$B$1001,,0)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 MATCH(orders!$D608, products!$A$1:$A$49, 0), MATCH(orders!I$1, products!$A$1:$G$1, 0))</f>
        <v>Lib</v>
      </c>
      <c r="J608" t="str">
        <f>INDEX(products!$A$1:$G$49, MATCH(orders!$D608, products!$A$1:$A$49, 0), MATCH(orders!J$1, products!$A$1:$G$1, 0))</f>
        <v>L</v>
      </c>
      <c r="K608" s="5">
        <f>INDEX(products!$A$1:$G$49, MATCH(orders!$D608, products!$A$1:$A$49, 0), MATCH(orders!K$1, products!$A$1:$G$1, 0))</f>
        <v>2.5</v>
      </c>
      <c r="L608" s="6">
        <f>INDEX(products!$A$1:$G$49, MATCH(orders!$D608, products!$A$1:$A$49, 0), MATCH(orders!L$1, products!$A$1:$G$1, 0))</f>
        <v>36.454999999999998</v>
      </c>
      <c r="M608" s="6">
        <f t="shared" si="28"/>
        <v>109.36499999999999</v>
      </c>
      <c r="N608" t="str">
        <f t="shared" si="29"/>
        <v>Liberica</v>
      </c>
      <c r="O608" t="str">
        <f t="shared" si="27"/>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_xlfn.XLOOKUP(C609,customers!$A$2:$A$1001,customers!$B$2:$B$1001,,0)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 MATCH(orders!$D609, products!$A$1:$A$49, 0), MATCH(orders!I$1, products!$A$1:$G$1, 0))</f>
        <v>Exc</v>
      </c>
      <c r="J609" t="str">
        <f>INDEX(products!$A$1:$G$49, MATCH(orders!$D609, products!$A$1:$A$49, 0), MATCH(orders!J$1, products!$A$1:$G$1, 0))</f>
        <v>D</v>
      </c>
      <c r="K609" s="5">
        <f>INDEX(products!$A$1:$G$49, MATCH(orders!$D609, products!$A$1:$A$49, 0), MATCH(orders!K$1, products!$A$1:$G$1, 0))</f>
        <v>0.2</v>
      </c>
      <c r="L609" s="6">
        <f>INDEX(products!$A$1:$G$49, MATCH(orders!$D609, products!$A$1:$A$49, 0), MATCH(orders!L$1, products!$A$1:$G$1, 0))</f>
        <v>3.645</v>
      </c>
      <c r="M609" s="6">
        <f t="shared" si="28"/>
        <v>3.645</v>
      </c>
      <c r="N609" t="str">
        <f t="shared" si="29"/>
        <v>Excelsa</v>
      </c>
      <c r="O609" t="str">
        <f t="shared" si="27"/>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_xlfn.XLOOKUP(C610,customers!$A$2:$A$1001,customers!$B$2:$B$1001,,0)</f>
        <v>Billy Neiland</v>
      </c>
      <c r="G610" s="2" t="str">
        <f>IF(_xlfn.XLOOKUP(C610,customers!$A$1:$A$1001,customers!$C$1:$C$1001,,0)=0,"",_xlfn.XLOOKUP(C610,customers!$A$1:$A$1001,customers!$C$1:$C$1001,,0))</f>
        <v/>
      </c>
      <c r="H610" s="2" t="str">
        <f>_xlfn.XLOOKUP(C610,customers!$A$1:$A$1001,customers!$G$1:$G$1001,,0)</f>
        <v>United States</v>
      </c>
      <c r="I610" t="str">
        <f>INDEX(products!$A$1:$G$49, MATCH(orders!$D610, products!$A$1:$A$49, 0), MATCH(orders!I$1, products!$A$1:$G$1, 0))</f>
        <v>Exc</v>
      </c>
      <c r="J610" t="str">
        <f>INDEX(products!$A$1:$G$49, MATCH(orders!$D610, products!$A$1:$A$49, 0), MATCH(orders!J$1, products!$A$1:$G$1, 0))</f>
        <v>D</v>
      </c>
      <c r="K610" s="5">
        <f>INDEX(products!$A$1:$G$49, MATCH(orders!$D610, products!$A$1:$A$49, 0), MATCH(orders!K$1, products!$A$1:$G$1, 0))</f>
        <v>2.5</v>
      </c>
      <c r="L610" s="6">
        <f>INDEX(products!$A$1:$G$49, MATCH(orders!$D610, products!$A$1:$A$49, 0), MATCH(orders!L$1, products!$A$1:$G$1, 0))</f>
        <v>27.945</v>
      </c>
      <c r="M610" s="6">
        <f t="shared" si="28"/>
        <v>55.89</v>
      </c>
      <c r="N610" t="str">
        <f t="shared" si="29"/>
        <v>Excelsa</v>
      </c>
      <c r="O610" t="str">
        <f t="shared" si="27"/>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_xlfn.XLOOKUP(C611,customers!$A$2:$A$1001,customers!$B$2:$B$1001,,0)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 MATCH(orders!$D611, products!$A$1:$A$49, 0), MATCH(orders!I$1, products!$A$1:$G$1, 0))</f>
        <v>Lib</v>
      </c>
      <c r="J611" t="str">
        <f>INDEX(products!$A$1:$G$49, MATCH(orders!$D611, products!$A$1:$A$49, 0), MATCH(orders!J$1, products!$A$1:$G$1, 0))</f>
        <v>M</v>
      </c>
      <c r="K611" s="5">
        <f>INDEX(products!$A$1:$G$49, MATCH(orders!$D611, products!$A$1:$A$49, 0), MATCH(orders!K$1, products!$A$1:$G$1, 0))</f>
        <v>0.2</v>
      </c>
      <c r="L611" s="6">
        <f>INDEX(products!$A$1:$G$49, MATCH(orders!$D611, products!$A$1:$A$49, 0), MATCH(orders!L$1, products!$A$1:$G$1, 0))</f>
        <v>4.3650000000000002</v>
      </c>
      <c r="M611" s="6">
        <f t="shared" si="28"/>
        <v>26.19</v>
      </c>
      <c r="N611" t="str">
        <f t="shared" si="29"/>
        <v>Liberica</v>
      </c>
      <c r="O611" t="str">
        <f t="shared" si="27"/>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_xlfn.XLOOKUP(C612,customers!$A$2:$A$1001,customers!$B$2:$B$1001,,0)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 MATCH(orders!$D612, products!$A$1:$A$49, 0), MATCH(orders!I$1, products!$A$1:$G$1, 0))</f>
        <v>Rob</v>
      </c>
      <c r="J612" t="str">
        <f>INDEX(products!$A$1:$G$49, MATCH(orders!$D612, products!$A$1:$A$49, 0), MATCH(orders!J$1, products!$A$1:$G$1, 0))</f>
        <v>M</v>
      </c>
      <c r="K612" s="5">
        <f>INDEX(products!$A$1:$G$49, MATCH(orders!$D612, products!$A$1:$A$49, 0), MATCH(orders!K$1, products!$A$1:$G$1, 0))</f>
        <v>1</v>
      </c>
      <c r="L612" s="6">
        <f>INDEX(products!$A$1:$G$49, MATCH(orders!$D612, products!$A$1:$A$49, 0), MATCH(orders!L$1, products!$A$1:$G$1, 0))</f>
        <v>9.9499999999999993</v>
      </c>
      <c r="M612" s="6">
        <f t="shared" si="28"/>
        <v>39.799999999999997</v>
      </c>
      <c r="N612" t="str">
        <f t="shared" si="29"/>
        <v>Robusta</v>
      </c>
      <c r="O612" t="str">
        <f t="shared" si="27"/>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_xlfn.XLOOKUP(C613,customers!$A$2:$A$1001,customers!$B$2:$B$1001,,0)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 MATCH(orders!$D613, products!$A$1:$A$49, 0), MATCH(orders!I$1, products!$A$1:$G$1, 0))</f>
        <v>Exc</v>
      </c>
      <c r="J613" t="str">
        <f>INDEX(products!$A$1:$G$49, MATCH(orders!$D613, products!$A$1:$A$49, 0), MATCH(orders!J$1, products!$A$1:$G$1, 0))</f>
        <v>L</v>
      </c>
      <c r="K613" s="5">
        <f>INDEX(products!$A$1:$G$49, MATCH(orders!$D613, products!$A$1:$A$49, 0), MATCH(orders!K$1, products!$A$1:$G$1, 0))</f>
        <v>2.5</v>
      </c>
      <c r="L613" s="6">
        <f>INDEX(products!$A$1:$G$49, MATCH(orders!$D613, products!$A$1:$A$49, 0), MATCH(orders!L$1, products!$A$1:$G$1, 0))</f>
        <v>34.154999999999994</v>
      </c>
      <c r="M613" s="6">
        <f t="shared" si="28"/>
        <v>68.309999999999988</v>
      </c>
      <c r="N613" t="str">
        <f t="shared" si="29"/>
        <v>Excelsa</v>
      </c>
      <c r="O613" t="str">
        <f t="shared" si="27"/>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_xlfn.XLOOKUP(C614,customers!$A$2:$A$1001,customers!$B$2:$B$1001,,0)</f>
        <v>Betti Lacasa</v>
      </c>
      <c r="G614" s="2" t="str">
        <f>IF(_xlfn.XLOOKUP(C614,customers!$A$1:$A$1001,customers!$C$1:$C$1001,,0)=0,"",_xlfn.XLOOKUP(C614,customers!$A$1:$A$1001,customers!$C$1:$C$1001,,0))</f>
        <v/>
      </c>
      <c r="H614" s="2" t="str">
        <f>_xlfn.XLOOKUP(C614,customers!$A$1:$A$1001,customers!$G$1:$G$1001,,0)</f>
        <v>Ireland</v>
      </c>
      <c r="I614" t="str">
        <f>INDEX(products!$A$1:$G$49, MATCH(orders!$D614, products!$A$1:$A$49, 0), MATCH(orders!I$1, products!$A$1:$G$1, 0))</f>
        <v>Ara</v>
      </c>
      <c r="J614" t="str">
        <f>INDEX(products!$A$1:$G$49, MATCH(orders!$D614, products!$A$1:$A$49, 0), MATCH(orders!J$1, products!$A$1:$G$1, 0))</f>
        <v>M</v>
      </c>
      <c r="K614" s="5">
        <f>INDEX(products!$A$1:$G$49, MATCH(orders!$D614, products!$A$1:$A$49, 0), MATCH(orders!K$1, products!$A$1:$G$1, 0))</f>
        <v>0.2</v>
      </c>
      <c r="L614" s="6">
        <f>INDEX(products!$A$1:$G$49, MATCH(orders!$D614, products!$A$1:$A$49, 0), MATCH(orders!L$1, products!$A$1:$G$1, 0))</f>
        <v>3.375</v>
      </c>
      <c r="M614" s="6">
        <f t="shared" si="28"/>
        <v>13.5</v>
      </c>
      <c r="N614" t="str">
        <f t="shared" si="29"/>
        <v>Arabica</v>
      </c>
      <c r="O614" t="str">
        <f t="shared" si="27"/>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_xlfn.XLOOKUP(C615,customers!$A$2:$A$1001,customers!$B$2:$B$1001,,0)</f>
        <v>Gunilla Lynch</v>
      </c>
      <c r="G615" s="2" t="str">
        <f>IF(_xlfn.XLOOKUP(C615,customers!$A$1:$A$1001,customers!$C$1:$C$1001,,0)=0,"",_xlfn.XLOOKUP(C615,customers!$A$1:$A$1001,customers!$C$1:$C$1001,,0))</f>
        <v/>
      </c>
      <c r="H615" s="2" t="str">
        <f>_xlfn.XLOOKUP(C615,customers!$A$1:$A$1001,customers!$G$1:$G$1001,,0)</f>
        <v>United States</v>
      </c>
      <c r="I615" t="str">
        <f>INDEX(products!$A$1:$G$49, MATCH(orders!$D615, products!$A$1:$A$49, 0), MATCH(orders!I$1, products!$A$1:$G$1, 0))</f>
        <v>Rob</v>
      </c>
      <c r="J615" t="str">
        <f>INDEX(products!$A$1:$G$49, MATCH(orders!$D615, products!$A$1:$A$49, 0), MATCH(orders!J$1, products!$A$1:$G$1, 0))</f>
        <v>M</v>
      </c>
      <c r="K615" s="5">
        <f>INDEX(products!$A$1:$G$49, MATCH(orders!$D615, products!$A$1:$A$49, 0), MATCH(orders!K$1, products!$A$1:$G$1, 0))</f>
        <v>0.5</v>
      </c>
      <c r="L615" s="6">
        <f>INDEX(products!$A$1:$G$49, MATCH(orders!$D615, products!$A$1:$A$49, 0), MATCH(orders!L$1, products!$A$1:$G$1, 0))</f>
        <v>5.97</v>
      </c>
      <c r="M615" s="6">
        <f t="shared" si="28"/>
        <v>5.97</v>
      </c>
      <c r="N615" t="str">
        <f t="shared" si="29"/>
        <v>Robusta</v>
      </c>
      <c r="O615" t="str">
        <f t="shared" si="27"/>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_xlfn.XLOOKUP(C616,customers!$A$2:$A$1001,customers!$B$2:$B$1001,,0)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 MATCH(orders!$D616, products!$A$1:$A$49, 0), MATCH(orders!I$1, products!$A$1:$G$1, 0))</f>
        <v>Rob</v>
      </c>
      <c r="J616" t="str">
        <f>INDEX(products!$A$1:$G$49, MATCH(orders!$D616, products!$A$1:$A$49, 0), MATCH(orders!J$1, products!$A$1:$G$1, 0))</f>
        <v>M</v>
      </c>
      <c r="K616" s="5">
        <f>INDEX(products!$A$1:$G$49, MATCH(orders!$D616, products!$A$1:$A$49, 0), MATCH(orders!K$1, products!$A$1:$G$1, 0))</f>
        <v>0.5</v>
      </c>
      <c r="L616" s="6">
        <f>INDEX(products!$A$1:$G$49, MATCH(orders!$D616, products!$A$1:$A$49, 0), MATCH(orders!L$1, products!$A$1:$G$1, 0))</f>
        <v>5.97</v>
      </c>
      <c r="M616" s="6">
        <f t="shared" si="28"/>
        <v>29.849999999999998</v>
      </c>
      <c r="N616" t="str">
        <f t="shared" si="29"/>
        <v>Robusta</v>
      </c>
      <c r="O616" t="str">
        <f t="shared" si="27"/>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_xlfn.XLOOKUP(C617,customers!$A$2:$A$1001,customers!$B$2:$B$1001,,0)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 MATCH(orders!$D617, products!$A$1:$A$49, 0), MATCH(orders!I$1, products!$A$1:$G$1, 0))</f>
        <v>Lib</v>
      </c>
      <c r="J617" t="str">
        <f>INDEX(products!$A$1:$G$49, MATCH(orders!$D617, products!$A$1:$A$49, 0), MATCH(orders!J$1, products!$A$1:$G$1, 0))</f>
        <v>L</v>
      </c>
      <c r="K617" s="5">
        <f>INDEX(products!$A$1:$G$49, MATCH(orders!$D617, products!$A$1:$A$49, 0), MATCH(orders!K$1, products!$A$1:$G$1, 0))</f>
        <v>2.5</v>
      </c>
      <c r="L617" s="6">
        <f>INDEX(products!$A$1:$G$49, MATCH(orders!$D617, products!$A$1:$A$49, 0), MATCH(orders!L$1, products!$A$1:$G$1, 0))</f>
        <v>36.454999999999998</v>
      </c>
      <c r="M617" s="6">
        <f t="shared" si="28"/>
        <v>72.91</v>
      </c>
      <c r="N617" t="str">
        <f t="shared" si="29"/>
        <v>Liberica</v>
      </c>
      <c r="O617" t="str">
        <f t="shared" si="27"/>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_xlfn.XLOOKUP(C618,customers!$A$2:$A$1001,customers!$B$2:$B$1001,,0)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 MATCH(orders!$D618, products!$A$1:$A$49, 0), MATCH(orders!I$1, products!$A$1:$G$1, 0))</f>
        <v>Exc</v>
      </c>
      <c r="J618" t="str">
        <f>INDEX(products!$A$1:$G$49, MATCH(orders!$D618, products!$A$1:$A$49, 0), MATCH(orders!J$1, products!$A$1:$G$1, 0))</f>
        <v>M</v>
      </c>
      <c r="K618" s="5">
        <f>INDEX(products!$A$1:$G$49, MATCH(orders!$D618, products!$A$1:$A$49, 0), MATCH(orders!K$1, products!$A$1:$G$1, 0))</f>
        <v>2.5</v>
      </c>
      <c r="L618" s="6">
        <f>INDEX(products!$A$1:$G$49, MATCH(orders!$D618, products!$A$1:$A$49, 0), MATCH(orders!L$1, products!$A$1:$G$1, 0))</f>
        <v>31.624999999999996</v>
      </c>
      <c r="M618" s="6">
        <f t="shared" si="28"/>
        <v>126.49999999999999</v>
      </c>
      <c r="N618" t="str">
        <f t="shared" si="29"/>
        <v>Excelsa</v>
      </c>
      <c r="O618" t="str">
        <f t="shared" si="27"/>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_xlfn.XLOOKUP(C619,customers!$A$2:$A$1001,customers!$B$2:$B$1001,,0)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 MATCH(orders!$D619, products!$A$1:$A$49, 0), MATCH(orders!I$1, products!$A$1:$G$1, 0))</f>
        <v>Lib</v>
      </c>
      <c r="J619" t="str">
        <f>INDEX(products!$A$1:$G$49, MATCH(orders!$D619, products!$A$1:$A$49, 0), MATCH(orders!J$1, products!$A$1:$G$1, 0))</f>
        <v>M</v>
      </c>
      <c r="K619" s="5">
        <f>INDEX(products!$A$1:$G$49, MATCH(orders!$D619, products!$A$1:$A$49, 0), MATCH(orders!K$1, products!$A$1:$G$1, 0))</f>
        <v>2.5</v>
      </c>
      <c r="L619" s="6">
        <f>INDEX(products!$A$1:$G$49, MATCH(orders!$D619, products!$A$1:$A$49, 0), MATCH(orders!L$1, products!$A$1:$G$1, 0))</f>
        <v>33.464999999999996</v>
      </c>
      <c r="M619" s="6">
        <f t="shared" si="28"/>
        <v>33.464999999999996</v>
      </c>
      <c r="N619" t="str">
        <f t="shared" si="29"/>
        <v>Liberica</v>
      </c>
      <c r="O619" t="str">
        <f t="shared" si="27"/>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_xlfn.XLOOKUP(C620,customers!$A$2:$A$1001,customers!$B$2:$B$1001,,0)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 MATCH(orders!$D620, products!$A$1:$A$49, 0), MATCH(orders!I$1, products!$A$1:$G$1, 0))</f>
        <v>Exc</v>
      </c>
      <c r="J620" t="str">
        <f>INDEX(products!$A$1:$G$49, MATCH(orders!$D620, products!$A$1:$A$49, 0), MATCH(orders!J$1, products!$A$1:$G$1, 0))</f>
        <v>D</v>
      </c>
      <c r="K620" s="5">
        <f>INDEX(products!$A$1:$G$49, MATCH(orders!$D620, products!$A$1:$A$49, 0), MATCH(orders!K$1, products!$A$1:$G$1, 0))</f>
        <v>1</v>
      </c>
      <c r="L620" s="6">
        <f>INDEX(products!$A$1:$G$49, MATCH(orders!$D620, products!$A$1:$A$49, 0), MATCH(orders!L$1, products!$A$1:$G$1, 0))</f>
        <v>12.15</v>
      </c>
      <c r="M620" s="6">
        <f t="shared" si="28"/>
        <v>72.900000000000006</v>
      </c>
      <c r="N620" t="str">
        <f t="shared" si="29"/>
        <v>Excelsa</v>
      </c>
      <c r="O620" t="str">
        <f t="shared" si="27"/>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_xlfn.XLOOKUP(C621,customers!$A$2:$A$1001,customers!$B$2:$B$1001,,0)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 MATCH(orders!$D621, products!$A$1:$A$49, 0), MATCH(orders!I$1, products!$A$1:$G$1, 0))</f>
        <v>Lib</v>
      </c>
      <c r="J621" t="str">
        <f>INDEX(products!$A$1:$G$49, MATCH(orders!$D621, products!$A$1:$A$49, 0), MATCH(orders!J$1, products!$A$1:$G$1, 0))</f>
        <v>D</v>
      </c>
      <c r="K621" s="5">
        <f>INDEX(products!$A$1:$G$49, MATCH(orders!$D621, products!$A$1:$A$49, 0), MATCH(orders!K$1, products!$A$1:$G$1, 0))</f>
        <v>0.5</v>
      </c>
      <c r="L621" s="6">
        <f>INDEX(products!$A$1:$G$49, MATCH(orders!$D621, products!$A$1:$A$49, 0), MATCH(orders!L$1, products!$A$1:$G$1, 0))</f>
        <v>7.77</v>
      </c>
      <c r="M621" s="6">
        <f t="shared" si="28"/>
        <v>15.54</v>
      </c>
      <c r="N621" t="str">
        <f t="shared" si="29"/>
        <v>Liberica</v>
      </c>
      <c r="O621" t="str">
        <f t="shared" si="27"/>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_xlfn.XLOOKUP(C622,customers!$A$2:$A$1001,customers!$B$2:$B$1001,,0)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 MATCH(orders!$D622, products!$A$1:$A$49, 0), MATCH(orders!I$1, products!$A$1:$G$1, 0))</f>
        <v>Ara</v>
      </c>
      <c r="J622" t="str">
        <f>INDEX(products!$A$1:$G$49, MATCH(orders!$D622, products!$A$1:$A$49, 0), MATCH(orders!J$1, products!$A$1:$G$1, 0))</f>
        <v>M</v>
      </c>
      <c r="K622" s="5">
        <f>INDEX(products!$A$1:$G$49, MATCH(orders!$D622, products!$A$1:$A$49, 0), MATCH(orders!K$1, products!$A$1:$G$1, 0))</f>
        <v>0.2</v>
      </c>
      <c r="L622" s="6">
        <f>INDEX(products!$A$1:$G$49, MATCH(orders!$D622, products!$A$1:$A$49, 0), MATCH(orders!L$1, products!$A$1:$G$1, 0))</f>
        <v>3.375</v>
      </c>
      <c r="M622" s="6">
        <f t="shared" si="28"/>
        <v>20.25</v>
      </c>
      <c r="N622" t="str">
        <f t="shared" si="29"/>
        <v>Arabica</v>
      </c>
      <c r="O622" t="str">
        <f t="shared" si="27"/>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_xlfn.XLOOKUP(C623,customers!$A$2:$A$1001,customers!$B$2:$B$1001,,0)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 MATCH(orders!$D623, products!$A$1:$A$49, 0), MATCH(orders!I$1, products!$A$1:$G$1, 0))</f>
        <v>Ara</v>
      </c>
      <c r="J623" t="str">
        <f>INDEX(products!$A$1:$G$49, MATCH(orders!$D623, products!$A$1:$A$49, 0), MATCH(orders!J$1, products!$A$1:$G$1, 0))</f>
        <v>L</v>
      </c>
      <c r="K623" s="5">
        <f>INDEX(products!$A$1:$G$49, MATCH(orders!$D623, products!$A$1:$A$49, 0), MATCH(orders!K$1, products!$A$1:$G$1, 0))</f>
        <v>1</v>
      </c>
      <c r="L623" s="6">
        <f>INDEX(products!$A$1:$G$49, MATCH(orders!$D623, products!$A$1:$A$49, 0), MATCH(orders!L$1, products!$A$1:$G$1, 0))</f>
        <v>12.95</v>
      </c>
      <c r="M623" s="6">
        <f t="shared" si="28"/>
        <v>77.699999999999989</v>
      </c>
      <c r="N623" t="str">
        <f t="shared" si="29"/>
        <v>Arabica</v>
      </c>
      <c r="O623" t="str">
        <f t="shared" si="27"/>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_xlfn.XLOOKUP(C624,customers!$A$2:$A$1001,customers!$B$2:$B$1001,,0)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 MATCH(orders!$D624, products!$A$1:$A$49, 0), MATCH(orders!I$1, products!$A$1:$G$1, 0))</f>
        <v>Lib</v>
      </c>
      <c r="J624" t="str">
        <f>INDEX(products!$A$1:$G$49, MATCH(orders!$D624, products!$A$1:$A$49, 0), MATCH(orders!J$1, products!$A$1:$G$1, 0))</f>
        <v>M</v>
      </c>
      <c r="K624" s="5">
        <f>INDEX(products!$A$1:$G$49, MATCH(orders!$D624, products!$A$1:$A$49, 0), MATCH(orders!K$1, products!$A$1:$G$1, 0))</f>
        <v>2.5</v>
      </c>
      <c r="L624" s="6">
        <f>INDEX(products!$A$1:$G$49, MATCH(orders!$D624, products!$A$1:$A$49, 0), MATCH(orders!L$1, products!$A$1:$G$1, 0))</f>
        <v>33.464999999999996</v>
      </c>
      <c r="M624" s="6">
        <f t="shared" si="28"/>
        <v>133.85999999999999</v>
      </c>
      <c r="N624" t="str">
        <f t="shared" si="29"/>
        <v>Liberica</v>
      </c>
      <c r="O624" t="str">
        <f t="shared" si="27"/>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_xlfn.XLOOKUP(C625,customers!$A$2:$A$1001,customers!$B$2:$B$1001,,0)</f>
        <v>Nelie Garnson</v>
      </c>
      <c r="G625" s="2" t="str">
        <f>IF(_xlfn.XLOOKUP(C625,customers!$A$1:$A$1001,customers!$C$1:$C$1001,,0)=0,"",_xlfn.XLOOKUP(C625,customers!$A$1:$A$1001,customers!$C$1:$C$1001,,0))</f>
        <v/>
      </c>
      <c r="H625" s="2" t="str">
        <f>_xlfn.XLOOKUP(C625,customers!$A$1:$A$1001,customers!$G$1:$G$1001,,0)</f>
        <v>United Kingdom</v>
      </c>
      <c r="I625" t="str">
        <f>INDEX(products!$A$1:$G$49, MATCH(orders!$D625, products!$A$1:$A$49, 0), MATCH(orders!I$1, products!$A$1:$G$1, 0))</f>
        <v>Exc</v>
      </c>
      <c r="J625" t="str">
        <f>INDEX(products!$A$1:$G$49, MATCH(orders!$D625, products!$A$1:$A$49, 0), MATCH(orders!J$1, products!$A$1:$G$1, 0))</f>
        <v>D</v>
      </c>
      <c r="K625" s="5">
        <f>INDEX(products!$A$1:$G$49, MATCH(orders!$D625, products!$A$1:$A$49, 0), MATCH(orders!K$1, products!$A$1:$G$1, 0))</f>
        <v>1</v>
      </c>
      <c r="L625" s="6">
        <f>INDEX(products!$A$1:$G$49, MATCH(orders!$D625, products!$A$1:$A$49, 0), MATCH(orders!L$1, products!$A$1:$G$1, 0))</f>
        <v>12.15</v>
      </c>
      <c r="M625" s="6">
        <f t="shared" si="28"/>
        <v>12.15</v>
      </c>
      <c r="N625" t="str">
        <f t="shared" si="29"/>
        <v>Excelsa</v>
      </c>
      <c r="O625" t="str">
        <f t="shared" si="27"/>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_xlfn.XLOOKUP(C626,customers!$A$2:$A$1001,customers!$B$2:$B$1001,,0)</f>
        <v>Dianne Chardin</v>
      </c>
      <c r="G626" s="2" t="str">
        <f>IF(_xlfn.XLOOKUP(C626,customers!$A$1:$A$1001,customers!$C$1:$C$1001,,0)=0,"",_xlfn.XLOOKUP(C626,customers!$A$1:$A$1001,customers!$C$1:$C$1001,,0))</f>
        <v>dchardinhc@nhs.uk</v>
      </c>
      <c r="H626" s="2" t="str">
        <f>_xlfn.XLOOKUP(C626,customers!$A$1:$A$1001,customers!$G$1:$G$1001,,0)</f>
        <v>Ireland</v>
      </c>
      <c r="I626" t="str">
        <f>INDEX(products!$A$1:$G$49, MATCH(orders!$D626, products!$A$1:$A$49, 0), MATCH(orders!I$1, products!$A$1:$G$1, 0))</f>
        <v>Exc</v>
      </c>
      <c r="J626" t="str">
        <f>INDEX(products!$A$1:$G$49, MATCH(orders!$D626, products!$A$1:$A$49, 0), MATCH(orders!J$1, products!$A$1:$G$1, 0))</f>
        <v>M</v>
      </c>
      <c r="K626" s="5">
        <f>INDEX(products!$A$1:$G$49, MATCH(orders!$D626, products!$A$1:$A$49, 0), MATCH(orders!K$1, products!$A$1:$G$1, 0))</f>
        <v>2.5</v>
      </c>
      <c r="L626" s="6">
        <f>INDEX(products!$A$1:$G$49, MATCH(orders!$D626, products!$A$1:$A$49, 0), MATCH(orders!L$1, products!$A$1:$G$1, 0))</f>
        <v>31.624999999999996</v>
      </c>
      <c r="M626" s="6">
        <f t="shared" si="28"/>
        <v>63.249999999999993</v>
      </c>
      <c r="N626" t="str">
        <f t="shared" si="29"/>
        <v>Excelsa</v>
      </c>
      <c r="O626" t="str">
        <f t="shared" si="27"/>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_xlfn.XLOOKUP(C627,customers!$A$2:$A$1001,customers!$B$2:$B$1001,,0)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 MATCH(orders!$D627, products!$A$1:$A$49, 0), MATCH(orders!I$1, products!$A$1:$G$1, 0))</f>
        <v>Rob</v>
      </c>
      <c r="J627" t="str">
        <f>INDEX(products!$A$1:$G$49, MATCH(orders!$D627, products!$A$1:$A$49, 0), MATCH(orders!J$1, products!$A$1:$G$1, 0))</f>
        <v>L</v>
      </c>
      <c r="K627" s="5">
        <f>INDEX(products!$A$1:$G$49, MATCH(orders!$D627, products!$A$1:$A$49, 0), MATCH(orders!K$1, products!$A$1:$G$1, 0))</f>
        <v>0.5</v>
      </c>
      <c r="L627" s="6">
        <f>INDEX(products!$A$1:$G$49, MATCH(orders!$D627, products!$A$1:$A$49, 0), MATCH(orders!L$1, products!$A$1:$G$1, 0))</f>
        <v>7.169999999999999</v>
      </c>
      <c r="M627" s="6">
        <f t="shared" si="28"/>
        <v>35.849999999999994</v>
      </c>
      <c r="N627" t="str">
        <f t="shared" si="29"/>
        <v>Robusta</v>
      </c>
      <c r="O627" t="str">
        <f t="shared" si="27"/>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_xlfn.XLOOKUP(C628,customers!$A$2:$A$1001,customers!$B$2:$B$1001,,0)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 MATCH(orders!$D628, products!$A$1:$A$49, 0), MATCH(orders!I$1, products!$A$1:$G$1, 0))</f>
        <v>Ara</v>
      </c>
      <c r="J628" t="str">
        <f>INDEX(products!$A$1:$G$49, MATCH(orders!$D628, products!$A$1:$A$49, 0), MATCH(orders!J$1, products!$A$1:$G$1, 0))</f>
        <v>M</v>
      </c>
      <c r="K628" s="5">
        <f>INDEX(products!$A$1:$G$49, MATCH(orders!$D628, products!$A$1:$A$49, 0), MATCH(orders!K$1, products!$A$1:$G$1, 0))</f>
        <v>2.5</v>
      </c>
      <c r="L628" s="6">
        <f>INDEX(products!$A$1:$G$49, MATCH(orders!$D628, products!$A$1:$A$49, 0), MATCH(orders!L$1, products!$A$1:$G$1, 0))</f>
        <v>25.874999999999996</v>
      </c>
      <c r="M628" s="6">
        <f t="shared" si="28"/>
        <v>77.624999999999986</v>
      </c>
      <c r="N628" t="str">
        <f t="shared" si="29"/>
        <v>Arabica</v>
      </c>
      <c r="O628" t="str">
        <f t="shared" si="27"/>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_xlfn.XLOOKUP(C629,customers!$A$2:$A$1001,customers!$B$2:$B$1001,,0)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 MATCH(orders!$D629, products!$A$1:$A$49, 0), MATCH(orders!I$1, products!$A$1:$G$1, 0))</f>
        <v>Exc</v>
      </c>
      <c r="J629" t="str">
        <f>INDEX(products!$A$1:$G$49, MATCH(orders!$D629, products!$A$1:$A$49, 0), MATCH(orders!J$1, products!$A$1:$G$1, 0))</f>
        <v>M</v>
      </c>
      <c r="K629" s="5">
        <f>INDEX(products!$A$1:$G$49, MATCH(orders!$D629, products!$A$1:$A$49, 0), MATCH(orders!K$1, products!$A$1:$G$1, 0))</f>
        <v>2.5</v>
      </c>
      <c r="L629" s="6">
        <f>INDEX(products!$A$1:$G$49, MATCH(orders!$D629, products!$A$1:$A$49, 0), MATCH(orders!L$1, products!$A$1:$G$1, 0))</f>
        <v>31.624999999999996</v>
      </c>
      <c r="M629" s="6">
        <f t="shared" si="28"/>
        <v>63.249999999999993</v>
      </c>
      <c r="N629" t="str">
        <f t="shared" si="29"/>
        <v>Excelsa</v>
      </c>
      <c r="O629" t="str">
        <f t="shared" si="27"/>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_xlfn.XLOOKUP(C630,customers!$A$2:$A$1001,customers!$B$2:$B$1001,,0)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 MATCH(orders!$D630, products!$A$1:$A$49, 0), MATCH(orders!I$1, products!$A$1:$G$1, 0))</f>
        <v>Exc</v>
      </c>
      <c r="J630" t="str">
        <f>INDEX(products!$A$1:$G$49, MATCH(orders!$D630, products!$A$1:$A$49, 0), MATCH(orders!J$1, products!$A$1:$G$1, 0))</f>
        <v>L</v>
      </c>
      <c r="K630" s="5">
        <f>INDEX(products!$A$1:$G$49, MATCH(orders!$D630, products!$A$1:$A$49, 0), MATCH(orders!K$1, products!$A$1:$G$1, 0))</f>
        <v>0.2</v>
      </c>
      <c r="L630" s="6">
        <f>INDEX(products!$A$1:$G$49, MATCH(orders!$D630, products!$A$1:$A$49, 0), MATCH(orders!L$1, products!$A$1:$G$1, 0))</f>
        <v>4.4550000000000001</v>
      </c>
      <c r="M630" s="6">
        <f t="shared" si="28"/>
        <v>26.73</v>
      </c>
      <c r="N630" t="str">
        <f t="shared" si="29"/>
        <v>Excelsa</v>
      </c>
      <c r="O630" t="str">
        <f t="shared" si="27"/>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_xlfn.XLOOKUP(C631,customers!$A$2:$A$1001,customers!$B$2:$B$1001,,0)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 MATCH(orders!$D631, products!$A$1:$A$49, 0), MATCH(orders!I$1, products!$A$1:$G$1, 0))</f>
        <v>Lib</v>
      </c>
      <c r="J631" t="str">
        <f>INDEX(products!$A$1:$G$49, MATCH(orders!$D631, products!$A$1:$A$49, 0), MATCH(orders!J$1, products!$A$1:$G$1, 0))</f>
        <v>D</v>
      </c>
      <c r="K631" s="5">
        <f>INDEX(products!$A$1:$G$49, MATCH(orders!$D631, products!$A$1:$A$49, 0), MATCH(orders!K$1, products!$A$1:$G$1, 0))</f>
        <v>0.5</v>
      </c>
      <c r="L631" s="6">
        <f>INDEX(products!$A$1:$G$49, MATCH(orders!$D631, products!$A$1:$A$49, 0), MATCH(orders!L$1, products!$A$1:$G$1, 0))</f>
        <v>7.77</v>
      </c>
      <c r="M631" s="6">
        <f t="shared" si="28"/>
        <v>31.08</v>
      </c>
      <c r="N631" t="str">
        <f t="shared" si="29"/>
        <v>Liberica</v>
      </c>
      <c r="O631" t="str">
        <f t="shared" si="27"/>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_xlfn.XLOOKUP(C632,customers!$A$2:$A$1001,customers!$B$2:$B$1001,,0)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 MATCH(orders!$D632, products!$A$1:$A$49, 0), MATCH(orders!I$1, products!$A$1:$G$1, 0))</f>
        <v>Ara</v>
      </c>
      <c r="J632" t="str">
        <f>INDEX(products!$A$1:$G$49, MATCH(orders!$D632, products!$A$1:$A$49, 0), MATCH(orders!J$1, products!$A$1:$G$1, 0))</f>
        <v>D</v>
      </c>
      <c r="K632" s="5">
        <f>INDEX(products!$A$1:$G$49, MATCH(orders!$D632, products!$A$1:$A$49, 0), MATCH(orders!K$1, products!$A$1:$G$1, 0))</f>
        <v>0.2</v>
      </c>
      <c r="L632" s="6">
        <f>INDEX(products!$A$1:$G$49, MATCH(orders!$D632, products!$A$1:$A$49, 0), MATCH(orders!L$1, products!$A$1:$G$1, 0))</f>
        <v>2.9849999999999999</v>
      </c>
      <c r="M632" s="6">
        <f t="shared" si="28"/>
        <v>2.9849999999999999</v>
      </c>
      <c r="N632" t="str">
        <f t="shared" si="29"/>
        <v>Arabica</v>
      </c>
      <c r="O632" t="str">
        <f t="shared" si="27"/>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_xlfn.XLOOKUP(C633,customers!$A$2:$A$1001,customers!$B$2:$B$1001,,0)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 MATCH(orders!$D633, products!$A$1:$A$49, 0), MATCH(orders!I$1, products!$A$1:$G$1, 0))</f>
        <v>Rob</v>
      </c>
      <c r="J633" t="str">
        <f>INDEX(products!$A$1:$G$49, MATCH(orders!$D633, products!$A$1:$A$49, 0), MATCH(orders!J$1, products!$A$1:$G$1, 0))</f>
        <v>D</v>
      </c>
      <c r="K633" s="5">
        <f>INDEX(products!$A$1:$G$49, MATCH(orders!$D633, products!$A$1:$A$49, 0), MATCH(orders!K$1, products!$A$1:$G$1, 0))</f>
        <v>2.5</v>
      </c>
      <c r="L633" s="6">
        <f>INDEX(products!$A$1:$G$49, MATCH(orders!$D633, products!$A$1:$A$49, 0), MATCH(orders!L$1, products!$A$1:$G$1, 0))</f>
        <v>20.584999999999997</v>
      </c>
      <c r="M633" s="6">
        <f t="shared" si="28"/>
        <v>102.92499999999998</v>
      </c>
      <c r="N633" t="str">
        <f t="shared" si="29"/>
        <v>Robusta</v>
      </c>
      <c r="O633" t="str">
        <f t="shared" si="27"/>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_xlfn.XLOOKUP(C634,customers!$A$2:$A$1001,customers!$B$2:$B$1001,,0)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 MATCH(orders!$D634, products!$A$1:$A$49, 0), MATCH(orders!I$1, products!$A$1:$G$1, 0))</f>
        <v>Exc</v>
      </c>
      <c r="J634" t="str">
        <f>INDEX(products!$A$1:$G$49, MATCH(orders!$D634, products!$A$1:$A$49, 0), MATCH(orders!J$1, products!$A$1:$G$1, 0))</f>
        <v>L</v>
      </c>
      <c r="K634" s="5">
        <f>INDEX(products!$A$1:$G$49, MATCH(orders!$D634, products!$A$1:$A$49, 0), MATCH(orders!K$1, products!$A$1:$G$1, 0))</f>
        <v>0.5</v>
      </c>
      <c r="L634" s="6">
        <f>INDEX(products!$A$1:$G$49, MATCH(orders!$D634, products!$A$1:$A$49, 0), MATCH(orders!L$1, products!$A$1:$G$1, 0))</f>
        <v>8.91</v>
      </c>
      <c r="M634" s="6">
        <f t="shared" si="28"/>
        <v>35.64</v>
      </c>
      <c r="N634" t="str">
        <f t="shared" si="29"/>
        <v>Excelsa</v>
      </c>
      <c r="O634" t="str">
        <f t="shared" si="27"/>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_xlfn.XLOOKUP(C635,customers!$A$2:$A$1001,customers!$B$2:$B$1001,,0)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 MATCH(orders!$D635, products!$A$1:$A$49, 0), MATCH(orders!I$1, products!$A$1:$G$1, 0))</f>
        <v>Rob</v>
      </c>
      <c r="J635" t="str">
        <f>INDEX(products!$A$1:$G$49, MATCH(orders!$D635, products!$A$1:$A$49, 0), MATCH(orders!J$1, products!$A$1:$G$1, 0))</f>
        <v>L</v>
      </c>
      <c r="K635" s="5">
        <f>INDEX(products!$A$1:$G$49, MATCH(orders!$D635, products!$A$1:$A$49, 0), MATCH(orders!K$1, products!$A$1:$G$1, 0))</f>
        <v>1</v>
      </c>
      <c r="L635" s="6">
        <f>INDEX(products!$A$1:$G$49, MATCH(orders!$D635, products!$A$1:$A$49, 0), MATCH(orders!L$1, products!$A$1:$G$1, 0))</f>
        <v>11.95</v>
      </c>
      <c r="M635" s="6">
        <f t="shared" si="28"/>
        <v>47.8</v>
      </c>
      <c r="N635" t="str">
        <f t="shared" si="29"/>
        <v>Robusta</v>
      </c>
      <c r="O635" t="str">
        <f t="shared" si="27"/>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_xlfn.XLOOKUP(C636,customers!$A$2:$A$1001,customers!$B$2:$B$1001,,0)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 MATCH(orders!$D636, products!$A$1:$A$49, 0), MATCH(orders!I$1, products!$A$1:$G$1, 0))</f>
        <v>Lib</v>
      </c>
      <c r="J636" t="str">
        <f>INDEX(products!$A$1:$G$49, MATCH(orders!$D636, products!$A$1:$A$49, 0), MATCH(orders!J$1, products!$A$1:$G$1, 0))</f>
        <v>M</v>
      </c>
      <c r="K636" s="5">
        <f>INDEX(products!$A$1:$G$49, MATCH(orders!$D636, products!$A$1:$A$49, 0), MATCH(orders!K$1, products!$A$1:$G$1, 0))</f>
        <v>1</v>
      </c>
      <c r="L636" s="6">
        <f>INDEX(products!$A$1:$G$49, MATCH(orders!$D636, products!$A$1:$A$49, 0), MATCH(orders!L$1, products!$A$1:$G$1, 0))</f>
        <v>14.55</v>
      </c>
      <c r="M636" s="6">
        <f t="shared" si="28"/>
        <v>43.650000000000006</v>
      </c>
      <c r="N636" t="str">
        <f t="shared" si="29"/>
        <v>Liberica</v>
      </c>
      <c r="O636" t="str">
        <f t="shared" si="27"/>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_xlfn.XLOOKUP(C637,customers!$A$2:$A$1001,customers!$B$2:$B$1001,,0)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 MATCH(orders!$D637, products!$A$1:$A$49, 0), MATCH(orders!I$1, products!$A$1:$G$1, 0))</f>
        <v>Exc</v>
      </c>
      <c r="J637" t="str">
        <f>INDEX(products!$A$1:$G$49, MATCH(orders!$D637, products!$A$1:$A$49, 0), MATCH(orders!J$1, products!$A$1:$G$1, 0))</f>
        <v>L</v>
      </c>
      <c r="K637" s="5">
        <f>INDEX(products!$A$1:$G$49, MATCH(orders!$D637, products!$A$1:$A$49, 0), MATCH(orders!K$1, products!$A$1:$G$1, 0))</f>
        <v>0.5</v>
      </c>
      <c r="L637" s="6">
        <f>INDEX(products!$A$1:$G$49, MATCH(orders!$D637, products!$A$1:$A$49, 0), MATCH(orders!L$1, products!$A$1:$G$1, 0))</f>
        <v>8.91</v>
      </c>
      <c r="M637" s="6">
        <f t="shared" si="28"/>
        <v>35.64</v>
      </c>
      <c r="N637" t="str">
        <f t="shared" si="29"/>
        <v>Excelsa</v>
      </c>
      <c r="O637" t="str">
        <f t="shared" si="27"/>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_xlfn.XLOOKUP(C638,customers!$A$2:$A$1001,customers!$B$2:$B$1001,,0)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 MATCH(orders!$D638, products!$A$1:$A$49, 0), MATCH(orders!I$1, products!$A$1:$G$1, 0))</f>
        <v>Lib</v>
      </c>
      <c r="J638" t="str">
        <f>INDEX(products!$A$1:$G$49, MATCH(orders!$D638, products!$A$1:$A$49, 0), MATCH(orders!J$1, products!$A$1:$G$1, 0))</f>
        <v>L</v>
      </c>
      <c r="K638" s="5">
        <f>INDEX(products!$A$1:$G$49, MATCH(orders!$D638, products!$A$1:$A$49, 0), MATCH(orders!K$1, products!$A$1:$G$1, 0))</f>
        <v>1</v>
      </c>
      <c r="L638" s="6">
        <f>INDEX(products!$A$1:$G$49, MATCH(orders!$D638, products!$A$1:$A$49, 0), MATCH(orders!L$1, products!$A$1:$G$1, 0))</f>
        <v>15.85</v>
      </c>
      <c r="M638" s="6">
        <f t="shared" si="28"/>
        <v>95.1</v>
      </c>
      <c r="N638" t="str">
        <f t="shared" si="29"/>
        <v>Liberica</v>
      </c>
      <c r="O638" t="str">
        <f t="shared" si="27"/>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_xlfn.XLOOKUP(C639,customers!$A$2:$A$1001,customers!$B$2:$B$1001,,0)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 MATCH(orders!$D639, products!$A$1:$A$49, 0), MATCH(orders!I$1, products!$A$1:$G$1, 0))</f>
        <v>Exc</v>
      </c>
      <c r="J639" t="str">
        <f>INDEX(products!$A$1:$G$49, MATCH(orders!$D639, products!$A$1:$A$49, 0), MATCH(orders!J$1, products!$A$1:$G$1, 0))</f>
        <v>M</v>
      </c>
      <c r="K639" s="5">
        <f>INDEX(products!$A$1:$G$49, MATCH(orders!$D639, products!$A$1:$A$49, 0), MATCH(orders!K$1, products!$A$1:$G$1, 0))</f>
        <v>2.5</v>
      </c>
      <c r="L639" s="6">
        <f>INDEX(products!$A$1:$G$49, MATCH(orders!$D639, products!$A$1:$A$49, 0), MATCH(orders!L$1, products!$A$1:$G$1, 0))</f>
        <v>31.624999999999996</v>
      </c>
      <c r="M639" s="6">
        <f t="shared" si="28"/>
        <v>31.624999999999996</v>
      </c>
      <c r="N639" t="str">
        <f t="shared" si="29"/>
        <v>Excelsa</v>
      </c>
      <c r="O639" t="str">
        <f t="shared" si="27"/>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_xlfn.XLOOKUP(C640,customers!$A$2:$A$1001,customers!$B$2:$B$1001,,0)</f>
        <v>Neville Piatto</v>
      </c>
      <c r="G640" s="2" t="str">
        <f>IF(_xlfn.XLOOKUP(C640,customers!$A$1:$A$1001,customers!$C$1:$C$1001,,0)=0,"",_xlfn.XLOOKUP(C640,customers!$A$1:$A$1001,customers!$C$1:$C$1001,,0))</f>
        <v/>
      </c>
      <c r="H640" s="2" t="str">
        <f>_xlfn.XLOOKUP(C640,customers!$A$1:$A$1001,customers!$G$1:$G$1001,,0)</f>
        <v>Ireland</v>
      </c>
      <c r="I640" t="str">
        <f>INDEX(products!$A$1:$G$49, MATCH(orders!$D640, products!$A$1:$A$49, 0), MATCH(orders!I$1, products!$A$1:$G$1, 0))</f>
        <v>Ara</v>
      </c>
      <c r="J640" t="str">
        <f>INDEX(products!$A$1:$G$49, MATCH(orders!$D640, products!$A$1:$A$49, 0), MATCH(orders!J$1, products!$A$1:$G$1, 0))</f>
        <v>M</v>
      </c>
      <c r="K640" s="5">
        <f>INDEX(products!$A$1:$G$49, MATCH(orders!$D640, products!$A$1:$A$49, 0), MATCH(orders!K$1, products!$A$1:$G$1, 0))</f>
        <v>2.5</v>
      </c>
      <c r="L640" s="6">
        <f>INDEX(products!$A$1:$G$49, MATCH(orders!$D640, products!$A$1:$A$49, 0), MATCH(orders!L$1, products!$A$1:$G$1, 0))</f>
        <v>25.874999999999996</v>
      </c>
      <c r="M640" s="6">
        <f t="shared" si="28"/>
        <v>77.624999999999986</v>
      </c>
      <c r="N640" t="str">
        <f t="shared" si="29"/>
        <v>Arabica</v>
      </c>
      <c r="O640" t="str">
        <f t="shared" si="27"/>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_xlfn.XLOOKUP(C641,customers!$A$2:$A$1001,customers!$B$2:$B$1001,,0)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 MATCH(orders!$D641, products!$A$1:$A$49, 0), MATCH(orders!I$1, products!$A$1:$G$1, 0))</f>
        <v>Lib</v>
      </c>
      <c r="J641" t="str">
        <f>INDEX(products!$A$1:$G$49, MATCH(orders!$D641, products!$A$1:$A$49, 0), MATCH(orders!J$1, products!$A$1:$G$1, 0))</f>
        <v>D</v>
      </c>
      <c r="K641" s="5">
        <f>INDEX(products!$A$1:$G$49, MATCH(orders!$D641, products!$A$1:$A$49, 0), MATCH(orders!K$1, products!$A$1:$G$1, 0))</f>
        <v>0.2</v>
      </c>
      <c r="L641" s="6">
        <f>INDEX(products!$A$1:$G$49, MATCH(orders!$D641, products!$A$1:$A$49, 0), MATCH(orders!L$1, products!$A$1:$G$1, 0))</f>
        <v>3.8849999999999998</v>
      </c>
      <c r="M641" s="6">
        <f t="shared" si="28"/>
        <v>3.8849999999999998</v>
      </c>
      <c r="N641" t="str">
        <f t="shared" si="29"/>
        <v>Liberica</v>
      </c>
      <c r="O641" t="str">
        <f t="shared" si="27"/>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_xlfn.XLOOKUP(C642,customers!$A$2:$A$1001,customers!$B$2:$B$1001,,0)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 MATCH(orders!$D642, products!$A$1:$A$49, 0), MATCH(orders!I$1, products!$A$1:$G$1, 0))</f>
        <v>Rob</v>
      </c>
      <c r="J642" t="str">
        <f>INDEX(products!$A$1:$G$49, MATCH(orders!$D642, products!$A$1:$A$49, 0), MATCH(orders!J$1, products!$A$1:$G$1, 0))</f>
        <v>L</v>
      </c>
      <c r="K642" s="5">
        <f>INDEX(products!$A$1:$G$49, MATCH(orders!$D642, products!$A$1:$A$49, 0), MATCH(orders!K$1, products!$A$1:$G$1, 0))</f>
        <v>2.5</v>
      </c>
      <c r="L642" s="6">
        <f>INDEX(products!$A$1:$G$49, MATCH(orders!$D642, products!$A$1:$A$49, 0), MATCH(orders!L$1, products!$A$1:$G$1, 0))</f>
        <v>27.484999999999996</v>
      </c>
      <c r="M642" s="6">
        <f t="shared" si="28"/>
        <v>137.42499999999998</v>
      </c>
      <c r="N642" t="str">
        <f t="shared" si="29"/>
        <v>Robusta</v>
      </c>
      <c r="O642" t="str">
        <f t="shared" ref="O642:O705" si="30">IF(J642="M","Medium",IF(J642="l","Light",IF(J642="d","Dark","")))</f>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_xlfn.XLOOKUP(C643,customers!$A$2:$A$1001,customers!$B$2:$B$1001,,0)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 MATCH(orders!$D643, products!$A$1:$A$49, 0), MATCH(orders!I$1, products!$A$1:$G$1, 0))</f>
        <v>Rob</v>
      </c>
      <c r="J643" t="str">
        <f>INDEX(products!$A$1:$G$49, MATCH(orders!$D643, products!$A$1:$A$49, 0), MATCH(orders!J$1, products!$A$1:$G$1, 0))</f>
        <v>L</v>
      </c>
      <c r="K643" s="5">
        <f>INDEX(products!$A$1:$G$49, MATCH(orders!$D643, products!$A$1:$A$49, 0), MATCH(orders!K$1, products!$A$1:$G$1, 0))</f>
        <v>1</v>
      </c>
      <c r="L643" s="6">
        <f>INDEX(products!$A$1:$G$49, MATCH(orders!$D643, products!$A$1:$A$49, 0), MATCH(orders!L$1, products!$A$1:$G$1, 0))</f>
        <v>11.95</v>
      </c>
      <c r="M643" s="6">
        <f t="shared" ref="M643:M706" si="31">L643*E643</f>
        <v>35.849999999999994</v>
      </c>
      <c r="N643" t="str">
        <f t="shared" ref="N643:N706" si="32">IF(I643="Rob","Robusta",IF(I643="Exc","Excelsa",IF(I643="Ara","Arabica",IF(I643="lib","Liberica",""))))</f>
        <v>Robusta</v>
      </c>
      <c r="O643" t="str">
        <f t="shared" si="30"/>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_xlfn.XLOOKUP(C644,customers!$A$2:$A$1001,customers!$B$2:$B$1001,,0)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 MATCH(orders!$D644, products!$A$1:$A$49, 0), MATCH(orders!I$1, products!$A$1:$G$1, 0))</f>
        <v>Exc</v>
      </c>
      <c r="J644" t="str">
        <f>INDEX(products!$A$1:$G$49, MATCH(orders!$D644, products!$A$1:$A$49, 0), MATCH(orders!J$1, products!$A$1:$G$1, 0))</f>
        <v>M</v>
      </c>
      <c r="K644" s="5">
        <f>INDEX(products!$A$1:$G$49, MATCH(orders!$D644, products!$A$1:$A$49, 0), MATCH(orders!K$1, products!$A$1:$G$1, 0))</f>
        <v>0.2</v>
      </c>
      <c r="L644" s="6">
        <f>INDEX(products!$A$1:$G$49, MATCH(orders!$D644, products!$A$1:$A$49, 0), MATCH(orders!L$1, products!$A$1:$G$1, 0))</f>
        <v>4.125</v>
      </c>
      <c r="M644" s="6">
        <f t="shared" si="31"/>
        <v>8.25</v>
      </c>
      <c r="N644" t="str">
        <f t="shared" si="32"/>
        <v>Excelsa</v>
      </c>
      <c r="O644" t="str">
        <f t="shared" si="30"/>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_xlfn.XLOOKUP(C645,customers!$A$2:$A$1001,customers!$B$2:$B$1001,,0)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 MATCH(orders!$D645, products!$A$1:$A$49, 0), MATCH(orders!I$1, products!$A$1:$G$1, 0))</f>
        <v>Exc</v>
      </c>
      <c r="J645" t="str">
        <f>INDEX(products!$A$1:$G$49, MATCH(orders!$D645, products!$A$1:$A$49, 0), MATCH(orders!J$1, products!$A$1:$G$1, 0))</f>
        <v>L</v>
      </c>
      <c r="K645" s="5">
        <f>INDEX(products!$A$1:$G$49, MATCH(orders!$D645, products!$A$1:$A$49, 0), MATCH(orders!K$1, products!$A$1:$G$1, 0))</f>
        <v>2.5</v>
      </c>
      <c r="L645" s="6">
        <f>INDEX(products!$A$1:$G$49, MATCH(orders!$D645, products!$A$1:$A$49, 0), MATCH(orders!L$1, products!$A$1:$G$1, 0))</f>
        <v>34.154999999999994</v>
      </c>
      <c r="M645" s="6">
        <f t="shared" si="31"/>
        <v>102.46499999999997</v>
      </c>
      <c r="N645" t="str">
        <f t="shared" si="32"/>
        <v>Excelsa</v>
      </c>
      <c r="O645" t="str">
        <f t="shared" si="30"/>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_xlfn.XLOOKUP(C646,customers!$A$2:$A$1001,customers!$B$2:$B$1001,,0)</f>
        <v>Marne Mingey</v>
      </c>
      <c r="G646" s="2" t="str">
        <f>IF(_xlfn.XLOOKUP(C646,customers!$A$1:$A$1001,customers!$C$1:$C$1001,,0)=0,"",_xlfn.XLOOKUP(C646,customers!$A$1:$A$1001,customers!$C$1:$C$1001,,0))</f>
        <v/>
      </c>
      <c r="H646" s="2" t="str">
        <f>_xlfn.XLOOKUP(C646,customers!$A$1:$A$1001,customers!$G$1:$G$1001,,0)</f>
        <v>United States</v>
      </c>
      <c r="I646" t="str">
        <f>INDEX(products!$A$1:$G$49, MATCH(orders!$D646, products!$A$1:$A$49, 0), MATCH(orders!I$1, products!$A$1:$G$1, 0))</f>
        <v>Rob</v>
      </c>
      <c r="J646" t="str">
        <f>INDEX(products!$A$1:$G$49, MATCH(orders!$D646, products!$A$1:$A$49, 0), MATCH(orders!J$1, products!$A$1:$G$1, 0))</f>
        <v>D</v>
      </c>
      <c r="K646" s="5">
        <f>INDEX(products!$A$1:$G$49, MATCH(orders!$D646, products!$A$1:$A$49, 0), MATCH(orders!K$1, products!$A$1:$G$1, 0))</f>
        <v>2.5</v>
      </c>
      <c r="L646" s="6">
        <f>INDEX(products!$A$1:$G$49, MATCH(orders!$D646, products!$A$1:$A$49, 0), MATCH(orders!L$1, products!$A$1:$G$1, 0))</f>
        <v>20.584999999999997</v>
      </c>
      <c r="M646" s="6">
        <f t="shared" si="31"/>
        <v>41.169999999999995</v>
      </c>
      <c r="N646" t="str">
        <f t="shared" si="32"/>
        <v>Robusta</v>
      </c>
      <c r="O646" t="str">
        <f t="shared" si="30"/>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_xlfn.XLOOKUP(C647,customers!$A$2:$A$1001,customers!$B$2:$B$1001,,0)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 MATCH(orders!$D647, products!$A$1:$A$49, 0), MATCH(orders!I$1, products!$A$1:$G$1, 0))</f>
        <v>Ara</v>
      </c>
      <c r="J647" t="str">
        <f>INDEX(products!$A$1:$G$49, MATCH(orders!$D647, products!$A$1:$A$49, 0), MATCH(orders!J$1, products!$A$1:$G$1, 0))</f>
        <v>D</v>
      </c>
      <c r="K647" s="5">
        <f>INDEX(products!$A$1:$G$49, MATCH(orders!$D647, products!$A$1:$A$49, 0), MATCH(orders!K$1, products!$A$1:$G$1, 0))</f>
        <v>2.5</v>
      </c>
      <c r="L647" s="6">
        <f>INDEX(products!$A$1:$G$49, MATCH(orders!$D647, products!$A$1:$A$49, 0), MATCH(orders!L$1, products!$A$1:$G$1, 0))</f>
        <v>22.884999999999998</v>
      </c>
      <c r="M647" s="6">
        <f t="shared" si="31"/>
        <v>68.655000000000001</v>
      </c>
      <c r="N647" t="str">
        <f t="shared" si="32"/>
        <v>Arabica</v>
      </c>
      <c r="O647" t="str">
        <f t="shared" si="30"/>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_xlfn.XLOOKUP(C648,customers!$A$2:$A$1001,customers!$B$2:$B$1001,,0)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 MATCH(orders!$D648, products!$A$1:$A$49, 0), MATCH(orders!I$1, products!$A$1:$G$1, 0))</f>
        <v>Ara</v>
      </c>
      <c r="J648" t="str">
        <f>INDEX(products!$A$1:$G$49, MATCH(orders!$D648, products!$A$1:$A$49, 0), MATCH(orders!J$1, products!$A$1:$G$1, 0))</f>
        <v>D</v>
      </c>
      <c r="K648" s="5">
        <f>INDEX(products!$A$1:$G$49, MATCH(orders!$D648, products!$A$1:$A$49, 0), MATCH(orders!K$1, products!$A$1:$G$1, 0))</f>
        <v>1</v>
      </c>
      <c r="L648" s="6">
        <f>INDEX(products!$A$1:$G$49, MATCH(orders!$D648, products!$A$1:$A$49, 0), MATCH(orders!L$1, products!$A$1:$G$1, 0))</f>
        <v>9.9499999999999993</v>
      </c>
      <c r="M648" s="6">
        <f t="shared" si="31"/>
        <v>9.9499999999999993</v>
      </c>
      <c r="N648" t="str">
        <f t="shared" si="32"/>
        <v>Arabica</v>
      </c>
      <c r="O648" t="str">
        <f t="shared" si="30"/>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_xlfn.XLOOKUP(C649,customers!$A$2:$A$1001,customers!$B$2:$B$1001,,0)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 MATCH(orders!$D649, products!$A$1:$A$49, 0), MATCH(orders!I$1, products!$A$1:$G$1, 0))</f>
        <v>Lib</v>
      </c>
      <c r="J649" t="str">
        <f>INDEX(products!$A$1:$G$49, MATCH(orders!$D649, products!$A$1:$A$49, 0), MATCH(orders!J$1, products!$A$1:$G$1, 0))</f>
        <v>L</v>
      </c>
      <c r="K649" s="5">
        <f>INDEX(products!$A$1:$G$49, MATCH(orders!$D649, products!$A$1:$A$49, 0), MATCH(orders!K$1, products!$A$1:$G$1, 0))</f>
        <v>0.5</v>
      </c>
      <c r="L649" s="6">
        <f>INDEX(products!$A$1:$G$49, MATCH(orders!$D649, products!$A$1:$A$49, 0), MATCH(orders!L$1, products!$A$1:$G$1, 0))</f>
        <v>9.51</v>
      </c>
      <c r="M649" s="6">
        <f t="shared" si="31"/>
        <v>28.53</v>
      </c>
      <c r="N649" t="str">
        <f t="shared" si="32"/>
        <v>Liberica</v>
      </c>
      <c r="O649" t="str">
        <f t="shared" si="30"/>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_xlfn.XLOOKUP(C650,customers!$A$2:$A$1001,customers!$B$2:$B$1001,,0)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 MATCH(orders!$D650, products!$A$1:$A$49, 0), MATCH(orders!I$1, products!$A$1:$G$1, 0))</f>
        <v>Rob</v>
      </c>
      <c r="J650" t="str">
        <f>INDEX(products!$A$1:$G$49, MATCH(orders!$D650, products!$A$1:$A$49, 0), MATCH(orders!J$1, products!$A$1:$G$1, 0))</f>
        <v>D</v>
      </c>
      <c r="K650" s="5">
        <f>INDEX(products!$A$1:$G$49, MATCH(orders!$D650, products!$A$1:$A$49, 0), MATCH(orders!K$1, products!$A$1:$G$1, 0))</f>
        <v>0.2</v>
      </c>
      <c r="L650" s="6">
        <f>INDEX(products!$A$1:$G$49, MATCH(orders!$D650, products!$A$1:$A$49, 0), MATCH(orders!L$1, products!$A$1:$G$1, 0))</f>
        <v>2.6849999999999996</v>
      </c>
      <c r="M650" s="6">
        <f t="shared" si="31"/>
        <v>16.11</v>
      </c>
      <c r="N650" t="str">
        <f t="shared" si="32"/>
        <v>Robusta</v>
      </c>
      <c r="O650" t="str">
        <f t="shared" si="30"/>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_xlfn.XLOOKUP(C651,customers!$A$2:$A$1001,customers!$B$2:$B$1001,,0)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 MATCH(orders!$D651, products!$A$1:$A$49, 0), MATCH(orders!I$1, products!$A$1:$G$1, 0))</f>
        <v>Lib</v>
      </c>
      <c r="J651" t="str">
        <f>INDEX(products!$A$1:$G$49, MATCH(orders!$D651, products!$A$1:$A$49, 0), MATCH(orders!J$1, products!$A$1:$G$1, 0))</f>
        <v>L</v>
      </c>
      <c r="K651" s="5">
        <f>INDEX(products!$A$1:$G$49, MATCH(orders!$D651, products!$A$1:$A$49, 0), MATCH(orders!K$1, products!$A$1:$G$1, 0))</f>
        <v>1</v>
      </c>
      <c r="L651" s="6">
        <f>INDEX(products!$A$1:$G$49, MATCH(orders!$D651, products!$A$1:$A$49, 0), MATCH(orders!L$1, products!$A$1:$G$1, 0))</f>
        <v>15.85</v>
      </c>
      <c r="M651" s="6">
        <f t="shared" si="31"/>
        <v>95.1</v>
      </c>
      <c r="N651" t="str">
        <f t="shared" si="32"/>
        <v>Liberica</v>
      </c>
      <c r="O651" t="str">
        <f t="shared" si="30"/>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_xlfn.XLOOKUP(C652,customers!$A$2:$A$1001,customers!$B$2:$B$1001,,0)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 MATCH(orders!$D652, products!$A$1:$A$49, 0), MATCH(orders!I$1, products!$A$1:$G$1, 0))</f>
        <v>Rob</v>
      </c>
      <c r="J652" t="str">
        <f>INDEX(products!$A$1:$G$49, MATCH(orders!$D652, products!$A$1:$A$49, 0), MATCH(orders!J$1, products!$A$1:$G$1, 0))</f>
        <v>D</v>
      </c>
      <c r="K652" s="5">
        <f>INDEX(products!$A$1:$G$49, MATCH(orders!$D652, products!$A$1:$A$49, 0), MATCH(orders!K$1, products!$A$1:$G$1, 0))</f>
        <v>0.5</v>
      </c>
      <c r="L652" s="6">
        <f>INDEX(products!$A$1:$G$49, MATCH(orders!$D652, products!$A$1:$A$49, 0), MATCH(orders!L$1, products!$A$1:$G$1, 0))</f>
        <v>5.3699999999999992</v>
      </c>
      <c r="M652" s="6">
        <f t="shared" si="31"/>
        <v>5.3699999999999992</v>
      </c>
      <c r="N652" t="str">
        <f t="shared" si="32"/>
        <v>Robusta</v>
      </c>
      <c r="O652" t="str">
        <f t="shared" si="30"/>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_xlfn.XLOOKUP(C653,customers!$A$2:$A$1001,customers!$B$2:$B$1001,,0)</f>
        <v>Giana Tonnesen</v>
      </c>
      <c r="G653" s="2" t="str">
        <f>IF(_xlfn.XLOOKUP(C653,customers!$A$1:$A$1001,customers!$C$1:$C$1001,,0)=0,"",_xlfn.XLOOKUP(C653,customers!$A$1:$A$1001,customers!$C$1:$C$1001,,0))</f>
        <v/>
      </c>
      <c r="H653" s="2" t="str">
        <f>_xlfn.XLOOKUP(C653,customers!$A$1:$A$1001,customers!$G$1:$G$1001,,0)</f>
        <v>United States</v>
      </c>
      <c r="I653" t="str">
        <f>INDEX(products!$A$1:$G$49, MATCH(orders!$D653, products!$A$1:$A$49, 0), MATCH(orders!I$1, products!$A$1:$G$1, 0))</f>
        <v>Rob</v>
      </c>
      <c r="J653" t="str">
        <f>INDEX(products!$A$1:$G$49, MATCH(orders!$D653, products!$A$1:$A$49, 0), MATCH(orders!J$1, products!$A$1:$G$1, 0))</f>
        <v>L</v>
      </c>
      <c r="K653" s="5">
        <f>INDEX(products!$A$1:$G$49, MATCH(orders!$D653, products!$A$1:$A$49, 0), MATCH(orders!K$1, products!$A$1:$G$1, 0))</f>
        <v>1</v>
      </c>
      <c r="L653" s="6">
        <f>INDEX(products!$A$1:$G$49, MATCH(orders!$D653, products!$A$1:$A$49, 0), MATCH(orders!L$1, products!$A$1:$G$1, 0))</f>
        <v>11.95</v>
      </c>
      <c r="M653" s="6">
        <f t="shared" si="31"/>
        <v>47.8</v>
      </c>
      <c r="N653" t="str">
        <f t="shared" si="32"/>
        <v>Robusta</v>
      </c>
      <c r="O653" t="str">
        <f t="shared" si="30"/>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_xlfn.XLOOKUP(C654,customers!$A$2:$A$1001,customers!$B$2:$B$1001,,0)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 MATCH(orders!$D654, products!$A$1:$A$49, 0), MATCH(orders!I$1, products!$A$1:$G$1, 0))</f>
        <v>Lib</v>
      </c>
      <c r="J654" t="str">
        <f>INDEX(products!$A$1:$G$49, MATCH(orders!$D654, products!$A$1:$A$49, 0), MATCH(orders!J$1, products!$A$1:$G$1, 0))</f>
        <v>L</v>
      </c>
      <c r="K654" s="5">
        <f>INDEX(products!$A$1:$G$49, MATCH(orders!$D654, products!$A$1:$A$49, 0), MATCH(orders!K$1, products!$A$1:$G$1, 0))</f>
        <v>1</v>
      </c>
      <c r="L654" s="6">
        <f>INDEX(products!$A$1:$G$49, MATCH(orders!$D654, products!$A$1:$A$49, 0), MATCH(orders!L$1, products!$A$1:$G$1, 0))</f>
        <v>15.85</v>
      </c>
      <c r="M654" s="6">
        <f t="shared" si="31"/>
        <v>63.4</v>
      </c>
      <c r="N654" t="str">
        <f t="shared" si="32"/>
        <v>Liberica</v>
      </c>
      <c r="O654" t="str">
        <f t="shared" si="30"/>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_xlfn.XLOOKUP(C655,customers!$A$2:$A$1001,customers!$B$2:$B$1001,,0)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 MATCH(orders!$D655, products!$A$1:$A$49, 0), MATCH(orders!I$1, products!$A$1:$G$1, 0))</f>
        <v>Ara</v>
      </c>
      <c r="J655" t="str">
        <f>INDEX(products!$A$1:$G$49, MATCH(orders!$D655, products!$A$1:$A$49, 0), MATCH(orders!J$1, products!$A$1:$G$1, 0))</f>
        <v>M</v>
      </c>
      <c r="K655" s="5">
        <f>INDEX(products!$A$1:$G$49, MATCH(orders!$D655, products!$A$1:$A$49, 0), MATCH(orders!K$1, products!$A$1:$G$1, 0))</f>
        <v>2.5</v>
      </c>
      <c r="L655" s="6">
        <f>INDEX(products!$A$1:$G$49, MATCH(orders!$D655, products!$A$1:$A$49, 0), MATCH(orders!L$1, products!$A$1:$G$1, 0))</f>
        <v>25.874999999999996</v>
      </c>
      <c r="M655" s="6">
        <f t="shared" si="31"/>
        <v>103.49999999999999</v>
      </c>
      <c r="N655" t="str">
        <f t="shared" si="32"/>
        <v>Arabica</v>
      </c>
      <c r="O655" t="str">
        <f t="shared" si="30"/>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_xlfn.XLOOKUP(C656,customers!$A$2:$A$1001,customers!$B$2:$B$1001,,0)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 MATCH(orders!$D656, products!$A$1:$A$49, 0), MATCH(orders!I$1, products!$A$1:$G$1, 0))</f>
        <v>Ara</v>
      </c>
      <c r="J656" t="str">
        <f>INDEX(products!$A$1:$G$49, MATCH(orders!$D656, products!$A$1:$A$49, 0), MATCH(orders!J$1, products!$A$1:$G$1, 0))</f>
        <v>D</v>
      </c>
      <c r="K656" s="5">
        <f>INDEX(products!$A$1:$G$49, MATCH(orders!$D656, products!$A$1:$A$49, 0), MATCH(orders!K$1, products!$A$1:$G$1, 0))</f>
        <v>2.5</v>
      </c>
      <c r="L656" s="6">
        <f>INDEX(products!$A$1:$G$49, MATCH(orders!$D656, products!$A$1:$A$49, 0), MATCH(orders!L$1, products!$A$1:$G$1, 0))</f>
        <v>22.884999999999998</v>
      </c>
      <c r="M656" s="6">
        <f t="shared" si="31"/>
        <v>68.655000000000001</v>
      </c>
      <c r="N656" t="str">
        <f t="shared" si="32"/>
        <v>Arabica</v>
      </c>
      <c r="O656" t="str">
        <f t="shared" si="30"/>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_xlfn.XLOOKUP(C657,customers!$A$2:$A$1001,customers!$B$2:$B$1001,,0)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 MATCH(orders!$D657, products!$A$1:$A$49, 0), MATCH(orders!I$1, products!$A$1:$G$1, 0))</f>
        <v>Rob</v>
      </c>
      <c r="J657" t="str">
        <f>INDEX(products!$A$1:$G$49, MATCH(orders!$D657, products!$A$1:$A$49, 0), MATCH(orders!J$1, products!$A$1:$G$1, 0))</f>
        <v>M</v>
      </c>
      <c r="K657" s="5">
        <f>INDEX(products!$A$1:$G$49, MATCH(orders!$D657, products!$A$1:$A$49, 0), MATCH(orders!K$1, products!$A$1:$G$1, 0))</f>
        <v>2.5</v>
      </c>
      <c r="L657" s="6">
        <f>INDEX(products!$A$1:$G$49, MATCH(orders!$D657, products!$A$1:$A$49, 0), MATCH(orders!L$1, products!$A$1:$G$1, 0))</f>
        <v>22.884999999999998</v>
      </c>
      <c r="M657" s="6">
        <f t="shared" si="31"/>
        <v>45.769999999999996</v>
      </c>
      <c r="N657" t="str">
        <f t="shared" si="32"/>
        <v>Robusta</v>
      </c>
      <c r="O657" t="str">
        <f t="shared" si="30"/>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_xlfn.XLOOKUP(C658,customers!$A$2:$A$1001,customers!$B$2:$B$1001,,0)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 MATCH(orders!$D658, products!$A$1:$A$49, 0), MATCH(orders!I$1, products!$A$1:$G$1, 0))</f>
        <v>Lib</v>
      </c>
      <c r="J658" t="str">
        <f>INDEX(products!$A$1:$G$49, MATCH(orders!$D658, products!$A$1:$A$49, 0), MATCH(orders!J$1, products!$A$1:$G$1, 0))</f>
        <v>D</v>
      </c>
      <c r="K658" s="5">
        <f>INDEX(products!$A$1:$G$49, MATCH(orders!$D658, products!$A$1:$A$49, 0), MATCH(orders!K$1, products!$A$1:$G$1, 0))</f>
        <v>1</v>
      </c>
      <c r="L658" s="6">
        <f>INDEX(products!$A$1:$G$49, MATCH(orders!$D658, products!$A$1:$A$49, 0), MATCH(orders!L$1, products!$A$1:$G$1, 0))</f>
        <v>12.95</v>
      </c>
      <c r="M658" s="6">
        <f t="shared" si="31"/>
        <v>51.8</v>
      </c>
      <c r="N658" t="str">
        <f t="shared" si="32"/>
        <v>Liberica</v>
      </c>
      <c r="O658" t="str">
        <f t="shared" si="30"/>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_xlfn.XLOOKUP(C659,customers!$A$2:$A$1001,customers!$B$2:$B$1001,,0)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 MATCH(orders!$D659, products!$A$1:$A$49, 0), MATCH(orders!I$1, products!$A$1:$G$1, 0))</f>
        <v>Ara</v>
      </c>
      <c r="J659" t="str">
        <f>INDEX(products!$A$1:$G$49, MATCH(orders!$D659, products!$A$1:$A$49, 0), MATCH(orders!J$1, products!$A$1:$G$1, 0))</f>
        <v>M</v>
      </c>
      <c r="K659" s="5">
        <f>INDEX(products!$A$1:$G$49, MATCH(orders!$D659, products!$A$1:$A$49, 0), MATCH(orders!K$1, products!$A$1:$G$1, 0))</f>
        <v>0.5</v>
      </c>
      <c r="L659" s="6">
        <f>INDEX(products!$A$1:$G$49, MATCH(orders!$D659, products!$A$1:$A$49, 0), MATCH(orders!L$1, products!$A$1:$G$1, 0))</f>
        <v>6.75</v>
      </c>
      <c r="M659" s="6">
        <f t="shared" si="31"/>
        <v>13.5</v>
      </c>
      <c r="N659" t="str">
        <f t="shared" si="32"/>
        <v>Arabica</v>
      </c>
      <c r="O659" t="str">
        <f t="shared" si="30"/>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_xlfn.XLOOKUP(C660,customers!$A$2:$A$1001,customers!$B$2:$B$1001,,0)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 MATCH(orders!$D660, products!$A$1:$A$49, 0), MATCH(orders!I$1, products!$A$1:$G$1, 0))</f>
        <v>Exc</v>
      </c>
      <c r="J660" t="str">
        <f>INDEX(products!$A$1:$G$49, MATCH(orders!$D660, products!$A$1:$A$49, 0), MATCH(orders!J$1, products!$A$1:$G$1, 0))</f>
        <v>M</v>
      </c>
      <c r="K660" s="5">
        <f>INDEX(products!$A$1:$G$49, MATCH(orders!$D660, products!$A$1:$A$49, 0), MATCH(orders!K$1, products!$A$1:$G$1, 0))</f>
        <v>0.5</v>
      </c>
      <c r="L660" s="6">
        <f>INDEX(products!$A$1:$G$49, MATCH(orders!$D660, products!$A$1:$A$49, 0), MATCH(orders!L$1, products!$A$1:$G$1, 0))</f>
        <v>8.25</v>
      </c>
      <c r="M660" s="6">
        <f t="shared" si="31"/>
        <v>24.75</v>
      </c>
      <c r="N660" t="str">
        <f t="shared" si="32"/>
        <v>Excelsa</v>
      </c>
      <c r="O660" t="str">
        <f t="shared" si="30"/>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_xlfn.XLOOKUP(C661,customers!$A$2:$A$1001,customers!$B$2:$B$1001,,0)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 MATCH(orders!$D661, products!$A$1:$A$49, 0), MATCH(orders!I$1, products!$A$1:$G$1, 0))</f>
        <v>Ara</v>
      </c>
      <c r="J661" t="str">
        <f>INDEX(products!$A$1:$G$49, MATCH(orders!$D661, products!$A$1:$A$49, 0), MATCH(orders!J$1, products!$A$1:$G$1, 0))</f>
        <v>D</v>
      </c>
      <c r="K661" s="5">
        <f>INDEX(products!$A$1:$G$49, MATCH(orders!$D661, products!$A$1:$A$49, 0), MATCH(orders!K$1, products!$A$1:$G$1, 0))</f>
        <v>2.5</v>
      </c>
      <c r="L661" s="6">
        <f>INDEX(products!$A$1:$G$49, MATCH(orders!$D661, products!$A$1:$A$49, 0), MATCH(orders!L$1, products!$A$1:$G$1, 0))</f>
        <v>22.884999999999998</v>
      </c>
      <c r="M661" s="6">
        <f t="shared" si="31"/>
        <v>45.769999999999996</v>
      </c>
      <c r="N661" t="str">
        <f t="shared" si="32"/>
        <v>Arabica</v>
      </c>
      <c r="O661" t="str">
        <f t="shared" si="30"/>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_xlfn.XLOOKUP(C662,customers!$A$2:$A$1001,customers!$B$2:$B$1001,,0)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 MATCH(orders!$D662, products!$A$1:$A$49, 0), MATCH(orders!I$1, products!$A$1:$G$1, 0))</f>
        <v>Exc</v>
      </c>
      <c r="J662" t="str">
        <f>INDEX(products!$A$1:$G$49, MATCH(orders!$D662, products!$A$1:$A$49, 0), MATCH(orders!J$1, products!$A$1:$G$1, 0))</f>
        <v>L</v>
      </c>
      <c r="K662" s="5">
        <f>INDEX(products!$A$1:$G$49, MATCH(orders!$D662, products!$A$1:$A$49, 0), MATCH(orders!K$1, products!$A$1:$G$1, 0))</f>
        <v>0.5</v>
      </c>
      <c r="L662" s="6">
        <f>INDEX(products!$A$1:$G$49, MATCH(orders!$D662, products!$A$1:$A$49, 0), MATCH(orders!L$1, products!$A$1:$G$1, 0))</f>
        <v>8.91</v>
      </c>
      <c r="M662" s="6">
        <f t="shared" si="31"/>
        <v>53.46</v>
      </c>
      <c r="N662" t="str">
        <f t="shared" si="32"/>
        <v>Excelsa</v>
      </c>
      <c r="O662" t="str">
        <f t="shared" si="30"/>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_xlfn.XLOOKUP(C663,customers!$A$2:$A$1001,customers!$B$2:$B$1001,,0)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 MATCH(orders!$D663, products!$A$1:$A$49, 0), MATCH(orders!I$1, products!$A$1:$G$1, 0))</f>
        <v>Ara</v>
      </c>
      <c r="J663" t="str">
        <f>INDEX(products!$A$1:$G$49, MATCH(orders!$D663, products!$A$1:$A$49, 0), MATCH(orders!J$1, products!$A$1:$G$1, 0))</f>
        <v>M</v>
      </c>
      <c r="K663" s="5">
        <f>INDEX(products!$A$1:$G$49, MATCH(orders!$D663, products!$A$1:$A$49, 0), MATCH(orders!K$1, products!$A$1:$G$1, 0))</f>
        <v>0.2</v>
      </c>
      <c r="L663" s="6">
        <f>INDEX(products!$A$1:$G$49, MATCH(orders!$D663, products!$A$1:$A$49, 0), MATCH(orders!L$1, products!$A$1:$G$1, 0))</f>
        <v>3.375</v>
      </c>
      <c r="M663" s="6">
        <f t="shared" si="31"/>
        <v>20.25</v>
      </c>
      <c r="N663" t="str">
        <f t="shared" si="32"/>
        <v>Arabica</v>
      </c>
      <c r="O663" t="str">
        <f t="shared" si="30"/>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_xlfn.XLOOKUP(C664,customers!$A$2:$A$1001,customers!$B$2:$B$1001,,0)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 MATCH(orders!$D664, products!$A$1:$A$49, 0), MATCH(orders!I$1, products!$A$1:$G$1, 0))</f>
        <v>Lib</v>
      </c>
      <c r="J664" t="str">
        <f>INDEX(products!$A$1:$G$49, MATCH(orders!$D664, products!$A$1:$A$49, 0), MATCH(orders!J$1, products!$A$1:$G$1, 0))</f>
        <v>D</v>
      </c>
      <c r="K664" s="5">
        <f>INDEX(products!$A$1:$G$49, MATCH(orders!$D664, products!$A$1:$A$49, 0), MATCH(orders!K$1, products!$A$1:$G$1, 0))</f>
        <v>2.5</v>
      </c>
      <c r="L664" s="6">
        <f>INDEX(products!$A$1:$G$49, MATCH(orders!$D664, products!$A$1:$A$49, 0), MATCH(orders!L$1, products!$A$1:$G$1, 0))</f>
        <v>29.784999999999997</v>
      </c>
      <c r="M664" s="6">
        <f t="shared" si="31"/>
        <v>148.92499999999998</v>
      </c>
      <c r="N664" t="str">
        <f t="shared" si="32"/>
        <v>Liberica</v>
      </c>
      <c r="O664" t="str">
        <f t="shared" si="30"/>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_xlfn.XLOOKUP(C665,customers!$A$2:$A$1001,customers!$B$2:$B$1001,,0)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 MATCH(orders!$D665, products!$A$1:$A$49, 0), MATCH(orders!I$1, products!$A$1:$G$1, 0))</f>
        <v>Ara</v>
      </c>
      <c r="J665" t="str">
        <f>INDEX(products!$A$1:$G$49, MATCH(orders!$D665, products!$A$1:$A$49, 0), MATCH(orders!J$1, products!$A$1:$G$1, 0))</f>
        <v>M</v>
      </c>
      <c r="K665" s="5">
        <f>INDEX(products!$A$1:$G$49, MATCH(orders!$D665, products!$A$1:$A$49, 0), MATCH(orders!K$1, products!$A$1:$G$1, 0))</f>
        <v>1</v>
      </c>
      <c r="L665" s="6">
        <f>INDEX(products!$A$1:$G$49, MATCH(orders!$D665, products!$A$1:$A$49, 0), MATCH(orders!L$1, products!$A$1:$G$1, 0))</f>
        <v>11.25</v>
      </c>
      <c r="M665" s="6">
        <f t="shared" si="31"/>
        <v>67.5</v>
      </c>
      <c r="N665" t="str">
        <f t="shared" si="32"/>
        <v>Arabica</v>
      </c>
      <c r="O665" t="str">
        <f t="shared" si="30"/>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_xlfn.XLOOKUP(C666,customers!$A$2:$A$1001,customers!$B$2:$B$1001,,0)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 MATCH(orders!$D666, products!$A$1:$A$49, 0), MATCH(orders!I$1, products!$A$1:$G$1, 0))</f>
        <v>Exc</v>
      </c>
      <c r="J666" t="str">
        <f>INDEX(products!$A$1:$G$49, MATCH(orders!$D666, products!$A$1:$A$49, 0), MATCH(orders!J$1, products!$A$1:$G$1, 0))</f>
        <v>D</v>
      </c>
      <c r="K666" s="5">
        <f>INDEX(products!$A$1:$G$49, MATCH(orders!$D666, products!$A$1:$A$49, 0), MATCH(orders!K$1, products!$A$1:$G$1, 0))</f>
        <v>1</v>
      </c>
      <c r="L666" s="6">
        <f>INDEX(products!$A$1:$G$49, MATCH(orders!$D666, products!$A$1:$A$49, 0), MATCH(orders!L$1, products!$A$1:$G$1, 0))</f>
        <v>12.15</v>
      </c>
      <c r="M666" s="6">
        <f t="shared" si="31"/>
        <v>72.900000000000006</v>
      </c>
      <c r="N666" t="str">
        <f t="shared" si="32"/>
        <v>Excelsa</v>
      </c>
      <c r="O666" t="str">
        <f t="shared" si="30"/>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_xlfn.XLOOKUP(C667,customers!$A$2:$A$1001,customers!$B$2:$B$1001,,0)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 MATCH(orders!$D667, products!$A$1:$A$49, 0), MATCH(orders!I$1, products!$A$1:$G$1, 0))</f>
        <v>Lib</v>
      </c>
      <c r="J667" t="str">
        <f>INDEX(products!$A$1:$G$49, MATCH(orders!$D667, products!$A$1:$A$49, 0), MATCH(orders!J$1, products!$A$1:$G$1, 0))</f>
        <v>D</v>
      </c>
      <c r="K667" s="5">
        <f>INDEX(products!$A$1:$G$49, MATCH(orders!$D667, products!$A$1:$A$49, 0), MATCH(orders!K$1, products!$A$1:$G$1, 0))</f>
        <v>0.2</v>
      </c>
      <c r="L667" s="6">
        <f>INDEX(products!$A$1:$G$49, MATCH(orders!$D667, products!$A$1:$A$49, 0), MATCH(orders!L$1, products!$A$1:$G$1, 0))</f>
        <v>3.8849999999999998</v>
      </c>
      <c r="M667" s="6">
        <f t="shared" si="31"/>
        <v>7.77</v>
      </c>
      <c r="N667" t="str">
        <f t="shared" si="32"/>
        <v>Liberica</v>
      </c>
      <c r="O667" t="str">
        <f t="shared" si="30"/>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_xlfn.XLOOKUP(C668,customers!$A$2:$A$1001,customers!$B$2:$B$1001,,0)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 MATCH(orders!$D668, products!$A$1:$A$49, 0), MATCH(orders!I$1, products!$A$1:$G$1, 0))</f>
        <v>Ara</v>
      </c>
      <c r="J668" t="str">
        <f>INDEX(products!$A$1:$G$49, MATCH(orders!$D668, products!$A$1:$A$49, 0), MATCH(orders!J$1, products!$A$1:$G$1, 0))</f>
        <v>D</v>
      </c>
      <c r="K668" s="5">
        <f>INDEX(products!$A$1:$G$49, MATCH(orders!$D668, products!$A$1:$A$49, 0), MATCH(orders!K$1, products!$A$1:$G$1, 0))</f>
        <v>2.5</v>
      </c>
      <c r="L668" s="6">
        <f>INDEX(products!$A$1:$G$49, MATCH(orders!$D668, products!$A$1:$A$49, 0), MATCH(orders!L$1, products!$A$1:$G$1, 0))</f>
        <v>22.884999999999998</v>
      </c>
      <c r="M668" s="6">
        <f t="shared" si="31"/>
        <v>91.539999999999992</v>
      </c>
      <c r="N668" t="str">
        <f t="shared" si="32"/>
        <v>Arabica</v>
      </c>
      <c r="O668" t="str">
        <f t="shared" si="30"/>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_xlfn.XLOOKUP(C669,customers!$A$2:$A$1001,customers!$B$2:$B$1001,,0)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 MATCH(orders!$D669, products!$A$1:$A$49, 0), MATCH(orders!I$1, products!$A$1:$G$1, 0))</f>
        <v>Ara</v>
      </c>
      <c r="J669" t="str">
        <f>INDEX(products!$A$1:$G$49, MATCH(orders!$D669, products!$A$1:$A$49, 0), MATCH(orders!J$1, products!$A$1:$G$1, 0))</f>
        <v>D</v>
      </c>
      <c r="K669" s="5">
        <f>INDEX(products!$A$1:$G$49, MATCH(orders!$D669, products!$A$1:$A$49, 0), MATCH(orders!K$1, products!$A$1:$G$1, 0))</f>
        <v>1</v>
      </c>
      <c r="L669" s="6">
        <f>INDEX(products!$A$1:$G$49, MATCH(orders!$D669, products!$A$1:$A$49, 0), MATCH(orders!L$1, products!$A$1:$G$1, 0))</f>
        <v>9.9499999999999993</v>
      </c>
      <c r="M669" s="6">
        <f t="shared" si="31"/>
        <v>59.699999999999996</v>
      </c>
      <c r="N669" t="str">
        <f t="shared" si="32"/>
        <v>Arabica</v>
      </c>
      <c r="O669" t="str">
        <f t="shared" si="30"/>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_xlfn.XLOOKUP(C670,customers!$A$2:$A$1001,customers!$B$2:$B$1001,,0)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 MATCH(orders!$D670, products!$A$1:$A$49, 0), MATCH(orders!I$1, products!$A$1:$G$1, 0))</f>
        <v>Rob</v>
      </c>
      <c r="J670" t="str">
        <f>INDEX(products!$A$1:$G$49, MATCH(orders!$D670, products!$A$1:$A$49, 0), MATCH(orders!J$1, products!$A$1:$G$1, 0))</f>
        <v>L</v>
      </c>
      <c r="K670" s="5">
        <f>INDEX(products!$A$1:$G$49, MATCH(orders!$D670, products!$A$1:$A$49, 0), MATCH(orders!K$1, products!$A$1:$G$1, 0))</f>
        <v>2.5</v>
      </c>
      <c r="L670" s="6">
        <f>INDEX(products!$A$1:$G$49, MATCH(orders!$D670, products!$A$1:$A$49, 0), MATCH(orders!L$1, products!$A$1:$G$1, 0))</f>
        <v>27.484999999999996</v>
      </c>
      <c r="M670" s="6">
        <f t="shared" si="31"/>
        <v>137.42499999999998</v>
      </c>
      <c r="N670" t="str">
        <f t="shared" si="32"/>
        <v>Robusta</v>
      </c>
      <c r="O670" t="str">
        <f t="shared" si="30"/>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_xlfn.XLOOKUP(C671,customers!$A$2:$A$1001,customers!$B$2:$B$1001,,0)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 MATCH(orders!$D671, products!$A$1:$A$49, 0), MATCH(orders!I$1, products!$A$1:$G$1, 0))</f>
        <v>Lib</v>
      </c>
      <c r="J671" t="str">
        <f>INDEX(products!$A$1:$G$49, MATCH(orders!$D671, products!$A$1:$A$49, 0), MATCH(orders!J$1, products!$A$1:$G$1, 0))</f>
        <v>M</v>
      </c>
      <c r="K671" s="5">
        <f>INDEX(products!$A$1:$G$49, MATCH(orders!$D671, products!$A$1:$A$49, 0), MATCH(orders!K$1, products!$A$1:$G$1, 0))</f>
        <v>2.5</v>
      </c>
      <c r="L671" s="6">
        <f>INDEX(products!$A$1:$G$49, MATCH(orders!$D671, products!$A$1:$A$49, 0), MATCH(orders!L$1, products!$A$1:$G$1, 0))</f>
        <v>33.464999999999996</v>
      </c>
      <c r="M671" s="6">
        <f t="shared" si="31"/>
        <v>66.929999999999993</v>
      </c>
      <c r="N671" t="str">
        <f t="shared" si="32"/>
        <v>Liberica</v>
      </c>
      <c r="O671" t="str">
        <f t="shared" si="30"/>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_xlfn.XLOOKUP(C672,customers!$A$2:$A$1001,customers!$B$2:$B$1001,,0)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 MATCH(orders!$D672, products!$A$1:$A$49, 0), MATCH(orders!I$1, products!$A$1:$G$1, 0))</f>
        <v>Lib</v>
      </c>
      <c r="J672" t="str">
        <f>INDEX(products!$A$1:$G$49, MATCH(orders!$D672, products!$A$1:$A$49, 0), MATCH(orders!J$1, products!$A$1:$G$1, 0))</f>
        <v>M</v>
      </c>
      <c r="K672" s="5">
        <f>INDEX(products!$A$1:$G$49, MATCH(orders!$D672, products!$A$1:$A$49, 0), MATCH(orders!K$1, products!$A$1:$G$1, 0))</f>
        <v>0.2</v>
      </c>
      <c r="L672" s="6">
        <f>INDEX(products!$A$1:$G$49, MATCH(orders!$D672, products!$A$1:$A$49, 0), MATCH(orders!L$1, products!$A$1:$G$1, 0))</f>
        <v>4.3650000000000002</v>
      </c>
      <c r="M672" s="6">
        <f t="shared" si="31"/>
        <v>13.095000000000001</v>
      </c>
      <c r="N672" t="str">
        <f t="shared" si="32"/>
        <v>Liberica</v>
      </c>
      <c r="O672" t="str">
        <f t="shared" si="30"/>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_xlfn.XLOOKUP(C673,customers!$A$2:$A$1001,customers!$B$2:$B$1001,,0)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 MATCH(orders!$D673, products!$A$1:$A$49, 0), MATCH(orders!I$1, products!$A$1:$G$1, 0))</f>
        <v>Rob</v>
      </c>
      <c r="J673" t="str">
        <f>INDEX(products!$A$1:$G$49, MATCH(orders!$D673, products!$A$1:$A$49, 0), MATCH(orders!J$1, products!$A$1:$G$1, 0))</f>
        <v>L</v>
      </c>
      <c r="K673" s="5">
        <f>INDEX(products!$A$1:$G$49, MATCH(orders!$D673, products!$A$1:$A$49, 0), MATCH(orders!K$1, products!$A$1:$G$1, 0))</f>
        <v>1</v>
      </c>
      <c r="L673" s="6">
        <f>INDEX(products!$A$1:$G$49, MATCH(orders!$D673, products!$A$1:$A$49, 0), MATCH(orders!L$1, products!$A$1:$G$1, 0))</f>
        <v>11.95</v>
      </c>
      <c r="M673" s="6">
        <f t="shared" si="31"/>
        <v>59.75</v>
      </c>
      <c r="N673" t="str">
        <f t="shared" si="32"/>
        <v>Robusta</v>
      </c>
      <c r="O673" t="str">
        <f t="shared" si="30"/>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_xlfn.XLOOKUP(C674,customers!$A$2:$A$1001,customers!$B$2:$B$1001,,0)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 MATCH(orders!$D674, products!$A$1:$A$49, 0), MATCH(orders!I$1, products!$A$1:$G$1, 0))</f>
        <v>Lib</v>
      </c>
      <c r="J674" t="str">
        <f>INDEX(products!$A$1:$G$49, MATCH(orders!$D674, products!$A$1:$A$49, 0), MATCH(orders!J$1, products!$A$1:$G$1, 0))</f>
        <v>M</v>
      </c>
      <c r="K674" s="5">
        <f>INDEX(products!$A$1:$G$49, MATCH(orders!$D674, products!$A$1:$A$49, 0), MATCH(orders!K$1, products!$A$1:$G$1, 0))</f>
        <v>0.5</v>
      </c>
      <c r="L674" s="6">
        <f>INDEX(products!$A$1:$G$49, MATCH(orders!$D674, products!$A$1:$A$49, 0), MATCH(orders!L$1, products!$A$1:$G$1, 0))</f>
        <v>8.73</v>
      </c>
      <c r="M674" s="6">
        <f t="shared" si="31"/>
        <v>43.650000000000006</v>
      </c>
      <c r="N674" t="str">
        <f t="shared" si="32"/>
        <v>Liberica</v>
      </c>
      <c r="O674" t="str">
        <f t="shared" si="30"/>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_xlfn.XLOOKUP(C675,customers!$A$2:$A$1001,customers!$B$2:$B$1001,,0)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 MATCH(orders!$D675, products!$A$1:$A$49, 0), MATCH(orders!I$1, products!$A$1:$G$1, 0))</f>
        <v>Exc</v>
      </c>
      <c r="J675" t="str">
        <f>INDEX(products!$A$1:$G$49, MATCH(orders!$D675, products!$A$1:$A$49, 0), MATCH(orders!J$1, products!$A$1:$G$1, 0))</f>
        <v>M</v>
      </c>
      <c r="K675" s="5">
        <f>INDEX(products!$A$1:$G$49, MATCH(orders!$D675, products!$A$1:$A$49, 0), MATCH(orders!K$1, products!$A$1:$G$1, 0))</f>
        <v>1</v>
      </c>
      <c r="L675" s="6">
        <f>INDEX(products!$A$1:$G$49, MATCH(orders!$D675, products!$A$1:$A$49, 0), MATCH(orders!L$1, products!$A$1:$G$1, 0))</f>
        <v>13.75</v>
      </c>
      <c r="M675" s="6">
        <f t="shared" si="31"/>
        <v>82.5</v>
      </c>
      <c r="N675" t="str">
        <f t="shared" si="32"/>
        <v>Excelsa</v>
      </c>
      <c r="O675" t="str">
        <f t="shared" si="30"/>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_xlfn.XLOOKUP(C676,customers!$A$2:$A$1001,customers!$B$2:$B$1001,,0)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 MATCH(orders!$D676, products!$A$1:$A$49, 0), MATCH(orders!I$1, products!$A$1:$G$1, 0))</f>
        <v>Ara</v>
      </c>
      <c r="J676" t="str">
        <f>INDEX(products!$A$1:$G$49, MATCH(orders!$D676, products!$A$1:$A$49, 0), MATCH(orders!J$1, products!$A$1:$G$1, 0))</f>
        <v>L</v>
      </c>
      <c r="K676" s="5">
        <f>INDEX(products!$A$1:$G$49, MATCH(orders!$D676, products!$A$1:$A$49, 0), MATCH(orders!K$1, products!$A$1:$G$1, 0))</f>
        <v>2.5</v>
      </c>
      <c r="L676" s="6">
        <f>INDEX(products!$A$1:$G$49, MATCH(orders!$D676, products!$A$1:$A$49, 0), MATCH(orders!L$1, products!$A$1:$G$1, 0))</f>
        <v>29.784999999999997</v>
      </c>
      <c r="M676" s="6">
        <f t="shared" si="31"/>
        <v>178.70999999999998</v>
      </c>
      <c r="N676" t="str">
        <f t="shared" si="32"/>
        <v>Arabica</v>
      </c>
      <c r="O676" t="str">
        <f t="shared" si="30"/>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_xlfn.XLOOKUP(C677,customers!$A$2:$A$1001,customers!$B$2:$B$1001,,0)</f>
        <v>Terri Lyford</v>
      </c>
      <c r="G677" s="2" t="str">
        <f>IF(_xlfn.XLOOKUP(C677,customers!$A$1:$A$1001,customers!$C$1:$C$1001,,0)=0,"",_xlfn.XLOOKUP(C677,customers!$A$1:$A$1001,customers!$C$1:$C$1001,,0))</f>
        <v/>
      </c>
      <c r="H677" s="2" t="str">
        <f>_xlfn.XLOOKUP(C677,customers!$A$1:$A$1001,customers!$G$1:$G$1001,,0)</f>
        <v>United States</v>
      </c>
      <c r="I677" t="str">
        <f>INDEX(products!$A$1:$G$49, MATCH(orders!$D677, products!$A$1:$A$49, 0), MATCH(orders!I$1, products!$A$1:$G$1, 0))</f>
        <v>Lib</v>
      </c>
      <c r="J677" t="str">
        <f>INDEX(products!$A$1:$G$49, MATCH(orders!$D677, products!$A$1:$A$49, 0), MATCH(orders!J$1, products!$A$1:$G$1, 0))</f>
        <v>D</v>
      </c>
      <c r="K677" s="5">
        <f>INDEX(products!$A$1:$G$49, MATCH(orders!$D677, products!$A$1:$A$49, 0), MATCH(orders!K$1, products!$A$1:$G$1, 0))</f>
        <v>2.5</v>
      </c>
      <c r="L677" s="6">
        <f>INDEX(products!$A$1:$G$49, MATCH(orders!$D677, products!$A$1:$A$49, 0), MATCH(orders!L$1, products!$A$1:$G$1, 0))</f>
        <v>29.784999999999997</v>
      </c>
      <c r="M677" s="6">
        <f t="shared" si="31"/>
        <v>119.13999999999999</v>
      </c>
      <c r="N677" t="str">
        <f t="shared" si="32"/>
        <v>Liberica</v>
      </c>
      <c r="O677" t="str">
        <f t="shared" si="30"/>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_xlfn.XLOOKUP(C678,customers!$A$2:$A$1001,customers!$B$2:$B$1001,,0)</f>
        <v>Gabey Cogan</v>
      </c>
      <c r="G678" s="2" t="str">
        <f>IF(_xlfn.XLOOKUP(C678,customers!$A$1:$A$1001,customers!$C$1:$C$1001,,0)=0,"",_xlfn.XLOOKUP(C678,customers!$A$1:$A$1001,customers!$C$1:$C$1001,,0))</f>
        <v/>
      </c>
      <c r="H678" s="2" t="str">
        <f>_xlfn.XLOOKUP(C678,customers!$A$1:$A$1001,customers!$G$1:$G$1001,,0)</f>
        <v>United States</v>
      </c>
      <c r="I678" t="str">
        <f>INDEX(products!$A$1:$G$49, MATCH(orders!$D678, products!$A$1:$A$49, 0), MATCH(orders!I$1, products!$A$1:$G$1, 0))</f>
        <v>Lib</v>
      </c>
      <c r="J678" t="str">
        <f>INDEX(products!$A$1:$G$49, MATCH(orders!$D678, products!$A$1:$A$49, 0), MATCH(orders!J$1, products!$A$1:$G$1, 0))</f>
        <v>L</v>
      </c>
      <c r="K678" s="5">
        <f>INDEX(products!$A$1:$G$49, MATCH(orders!$D678, products!$A$1:$A$49, 0), MATCH(orders!K$1, products!$A$1:$G$1, 0))</f>
        <v>0.5</v>
      </c>
      <c r="L678" s="6">
        <f>INDEX(products!$A$1:$G$49, MATCH(orders!$D678, products!$A$1:$A$49, 0), MATCH(orders!L$1, products!$A$1:$G$1, 0))</f>
        <v>9.51</v>
      </c>
      <c r="M678" s="6">
        <f t="shared" si="31"/>
        <v>47.55</v>
      </c>
      <c r="N678" t="str">
        <f t="shared" si="32"/>
        <v>Liberica</v>
      </c>
      <c r="O678" t="str">
        <f t="shared" si="30"/>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_xlfn.XLOOKUP(C679,customers!$A$2:$A$1001,customers!$B$2:$B$1001,,0)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 MATCH(orders!$D679, products!$A$1:$A$49, 0), MATCH(orders!I$1, products!$A$1:$G$1, 0))</f>
        <v>Lib</v>
      </c>
      <c r="J679" t="str">
        <f>INDEX(products!$A$1:$G$49, MATCH(orders!$D679, products!$A$1:$A$49, 0), MATCH(orders!J$1, products!$A$1:$G$1, 0))</f>
        <v>M</v>
      </c>
      <c r="K679" s="5">
        <f>INDEX(products!$A$1:$G$49, MATCH(orders!$D679, products!$A$1:$A$49, 0), MATCH(orders!K$1, products!$A$1:$G$1, 0))</f>
        <v>0.5</v>
      </c>
      <c r="L679" s="6">
        <f>INDEX(products!$A$1:$G$49, MATCH(orders!$D679, products!$A$1:$A$49, 0), MATCH(orders!L$1, products!$A$1:$G$1, 0))</f>
        <v>8.73</v>
      </c>
      <c r="M679" s="6">
        <f t="shared" si="31"/>
        <v>43.650000000000006</v>
      </c>
      <c r="N679" t="str">
        <f t="shared" si="32"/>
        <v>Liberica</v>
      </c>
      <c r="O679" t="str">
        <f t="shared" si="30"/>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_xlfn.XLOOKUP(C680,customers!$A$2:$A$1001,customers!$B$2:$B$1001,,0)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 MATCH(orders!$D680, products!$A$1:$A$49, 0), MATCH(orders!I$1, products!$A$1:$G$1, 0))</f>
        <v>Ara</v>
      </c>
      <c r="J680" t="str">
        <f>INDEX(products!$A$1:$G$49, MATCH(orders!$D680, products!$A$1:$A$49, 0), MATCH(orders!J$1, products!$A$1:$G$1, 0))</f>
        <v>L</v>
      </c>
      <c r="K680" s="5">
        <f>INDEX(products!$A$1:$G$49, MATCH(orders!$D680, products!$A$1:$A$49, 0), MATCH(orders!K$1, products!$A$1:$G$1, 0))</f>
        <v>2.5</v>
      </c>
      <c r="L680" s="6">
        <f>INDEX(products!$A$1:$G$49, MATCH(orders!$D680, products!$A$1:$A$49, 0), MATCH(orders!L$1, products!$A$1:$G$1, 0))</f>
        <v>29.784999999999997</v>
      </c>
      <c r="M680" s="6">
        <f t="shared" si="31"/>
        <v>178.70999999999998</v>
      </c>
      <c r="N680" t="str">
        <f t="shared" si="32"/>
        <v>Arabica</v>
      </c>
      <c r="O680" t="str">
        <f t="shared" si="30"/>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_xlfn.XLOOKUP(C681,customers!$A$2:$A$1001,customers!$B$2:$B$1001,,0)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 MATCH(orders!$D681, products!$A$1:$A$49, 0), MATCH(orders!I$1, products!$A$1:$G$1, 0))</f>
        <v>Rob</v>
      </c>
      <c r="J681" t="str">
        <f>INDEX(products!$A$1:$G$49, MATCH(orders!$D681, products!$A$1:$A$49, 0), MATCH(orders!J$1, products!$A$1:$G$1, 0))</f>
        <v>L</v>
      </c>
      <c r="K681" s="5">
        <f>INDEX(products!$A$1:$G$49, MATCH(orders!$D681, products!$A$1:$A$49, 0), MATCH(orders!K$1, products!$A$1:$G$1, 0))</f>
        <v>2.5</v>
      </c>
      <c r="L681" s="6">
        <f>INDEX(products!$A$1:$G$49, MATCH(orders!$D681, products!$A$1:$A$49, 0), MATCH(orders!L$1, products!$A$1:$G$1, 0))</f>
        <v>27.484999999999996</v>
      </c>
      <c r="M681" s="6">
        <f t="shared" si="31"/>
        <v>27.484999999999996</v>
      </c>
      <c r="N681" t="str">
        <f t="shared" si="32"/>
        <v>Robusta</v>
      </c>
      <c r="O681" t="str">
        <f t="shared" si="30"/>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_xlfn.XLOOKUP(C682,customers!$A$2:$A$1001,customers!$B$2:$B$1001,,0)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 MATCH(orders!$D682, products!$A$1:$A$49, 0), MATCH(orders!I$1, products!$A$1:$G$1, 0))</f>
        <v>Ara</v>
      </c>
      <c r="J682" t="str">
        <f>INDEX(products!$A$1:$G$49, MATCH(orders!$D682, products!$A$1:$A$49, 0), MATCH(orders!J$1, products!$A$1:$G$1, 0))</f>
        <v>M</v>
      </c>
      <c r="K682" s="5">
        <f>INDEX(products!$A$1:$G$49, MATCH(orders!$D682, products!$A$1:$A$49, 0), MATCH(orders!K$1, products!$A$1:$G$1, 0))</f>
        <v>1</v>
      </c>
      <c r="L682" s="6">
        <f>INDEX(products!$A$1:$G$49, MATCH(orders!$D682, products!$A$1:$A$49, 0), MATCH(orders!L$1, products!$A$1:$G$1, 0))</f>
        <v>11.25</v>
      </c>
      <c r="M682" s="6">
        <f t="shared" si="31"/>
        <v>56.25</v>
      </c>
      <c r="N682" t="str">
        <f t="shared" si="32"/>
        <v>Arabica</v>
      </c>
      <c r="O682" t="str">
        <f t="shared" si="30"/>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_xlfn.XLOOKUP(C683,customers!$A$2:$A$1001,customers!$B$2:$B$1001,,0)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 MATCH(orders!$D683, products!$A$1:$A$49, 0), MATCH(orders!I$1, products!$A$1:$G$1, 0))</f>
        <v>Lib</v>
      </c>
      <c r="J683" t="str">
        <f>INDEX(products!$A$1:$G$49, MATCH(orders!$D683, products!$A$1:$A$49, 0), MATCH(orders!J$1, products!$A$1:$G$1, 0))</f>
        <v>L</v>
      </c>
      <c r="K683" s="5">
        <f>INDEX(products!$A$1:$G$49, MATCH(orders!$D683, products!$A$1:$A$49, 0), MATCH(orders!K$1, products!$A$1:$G$1, 0))</f>
        <v>0.2</v>
      </c>
      <c r="L683" s="6">
        <f>INDEX(products!$A$1:$G$49, MATCH(orders!$D683, products!$A$1:$A$49, 0), MATCH(orders!L$1, products!$A$1:$G$1, 0))</f>
        <v>4.7549999999999999</v>
      </c>
      <c r="M683" s="6">
        <f t="shared" si="31"/>
        <v>9.51</v>
      </c>
      <c r="N683" t="str">
        <f t="shared" si="32"/>
        <v>Liberica</v>
      </c>
      <c r="O683" t="str">
        <f t="shared" si="30"/>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_xlfn.XLOOKUP(C684,customers!$A$2:$A$1001,customers!$B$2:$B$1001,,0)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 MATCH(orders!$D684, products!$A$1:$A$49, 0), MATCH(orders!I$1, products!$A$1:$G$1, 0))</f>
        <v>Exc</v>
      </c>
      <c r="J684" t="str">
        <f>INDEX(products!$A$1:$G$49, MATCH(orders!$D684, products!$A$1:$A$49, 0), MATCH(orders!J$1, products!$A$1:$G$1, 0))</f>
        <v>M</v>
      </c>
      <c r="K684" s="5">
        <f>INDEX(products!$A$1:$G$49, MATCH(orders!$D684, products!$A$1:$A$49, 0), MATCH(orders!K$1, products!$A$1:$G$1, 0))</f>
        <v>0.2</v>
      </c>
      <c r="L684" s="6">
        <f>INDEX(products!$A$1:$G$49, MATCH(orders!$D684, products!$A$1:$A$49, 0), MATCH(orders!L$1, products!$A$1:$G$1, 0))</f>
        <v>4.125</v>
      </c>
      <c r="M684" s="6">
        <f t="shared" si="31"/>
        <v>8.25</v>
      </c>
      <c r="N684" t="str">
        <f t="shared" si="32"/>
        <v>Excelsa</v>
      </c>
      <c r="O684" t="str">
        <f t="shared" si="30"/>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_xlfn.XLOOKUP(C685,customers!$A$2:$A$1001,customers!$B$2:$B$1001,,0)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 MATCH(orders!$D685, products!$A$1:$A$49, 0), MATCH(orders!I$1, products!$A$1:$G$1, 0))</f>
        <v>Lib</v>
      </c>
      <c r="J685" t="str">
        <f>INDEX(products!$A$1:$G$49, MATCH(orders!$D685, products!$A$1:$A$49, 0), MATCH(orders!J$1, products!$A$1:$G$1, 0))</f>
        <v>D</v>
      </c>
      <c r="K685" s="5">
        <f>INDEX(products!$A$1:$G$49, MATCH(orders!$D685, products!$A$1:$A$49, 0), MATCH(orders!K$1, products!$A$1:$G$1, 0))</f>
        <v>0.5</v>
      </c>
      <c r="L685" s="6">
        <f>INDEX(products!$A$1:$G$49, MATCH(orders!$D685, products!$A$1:$A$49, 0), MATCH(orders!L$1, products!$A$1:$G$1, 0))</f>
        <v>7.77</v>
      </c>
      <c r="M685" s="6">
        <f t="shared" si="31"/>
        <v>46.62</v>
      </c>
      <c r="N685" t="str">
        <f t="shared" si="32"/>
        <v>Liberica</v>
      </c>
      <c r="O685" t="str">
        <f t="shared" si="30"/>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_xlfn.XLOOKUP(C686,customers!$A$2:$A$1001,customers!$B$2:$B$1001,,0)</f>
        <v>Becca Ableson</v>
      </c>
      <c r="G686" s="2" t="str">
        <f>IF(_xlfn.XLOOKUP(C686,customers!$A$1:$A$1001,customers!$C$1:$C$1001,,0)=0,"",_xlfn.XLOOKUP(C686,customers!$A$1:$A$1001,customers!$C$1:$C$1001,,0))</f>
        <v/>
      </c>
      <c r="H686" s="2" t="str">
        <f>_xlfn.XLOOKUP(C686,customers!$A$1:$A$1001,customers!$G$1:$G$1001,,0)</f>
        <v>United States</v>
      </c>
      <c r="I686" t="str">
        <f>INDEX(products!$A$1:$G$49, MATCH(orders!$D686, products!$A$1:$A$49, 0), MATCH(orders!I$1, products!$A$1:$G$1, 0))</f>
        <v>Rob</v>
      </c>
      <c r="J686" t="str">
        <f>INDEX(products!$A$1:$G$49, MATCH(orders!$D686, products!$A$1:$A$49, 0), MATCH(orders!J$1, products!$A$1:$G$1, 0))</f>
        <v>L</v>
      </c>
      <c r="K686" s="5">
        <f>INDEX(products!$A$1:$G$49, MATCH(orders!$D686, products!$A$1:$A$49, 0), MATCH(orders!K$1, products!$A$1:$G$1, 0))</f>
        <v>1</v>
      </c>
      <c r="L686" s="6">
        <f>INDEX(products!$A$1:$G$49, MATCH(orders!$D686, products!$A$1:$A$49, 0), MATCH(orders!L$1, products!$A$1:$G$1, 0))</f>
        <v>11.95</v>
      </c>
      <c r="M686" s="6">
        <f t="shared" si="31"/>
        <v>71.699999999999989</v>
      </c>
      <c r="N686" t="str">
        <f t="shared" si="32"/>
        <v>Robusta</v>
      </c>
      <c r="O686" t="str">
        <f t="shared" si="30"/>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_xlfn.XLOOKUP(C687,customers!$A$2:$A$1001,customers!$B$2:$B$1001,,0)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 MATCH(orders!$D687, products!$A$1:$A$49, 0), MATCH(orders!I$1, products!$A$1:$G$1, 0))</f>
        <v>Lib</v>
      </c>
      <c r="J687" t="str">
        <f>INDEX(products!$A$1:$G$49, MATCH(orders!$D687, products!$A$1:$A$49, 0), MATCH(orders!J$1, products!$A$1:$G$1, 0))</f>
        <v>L</v>
      </c>
      <c r="K687" s="5">
        <f>INDEX(products!$A$1:$G$49, MATCH(orders!$D687, products!$A$1:$A$49, 0), MATCH(orders!K$1, products!$A$1:$G$1, 0))</f>
        <v>2.5</v>
      </c>
      <c r="L687" s="6">
        <f>INDEX(products!$A$1:$G$49, MATCH(orders!$D687, products!$A$1:$A$49, 0), MATCH(orders!L$1, products!$A$1:$G$1, 0))</f>
        <v>36.454999999999998</v>
      </c>
      <c r="M687" s="6">
        <f t="shared" si="31"/>
        <v>72.91</v>
      </c>
      <c r="N687" t="str">
        <f t="shared" si="32"/>
        <v>Liberica</v>
      </c>
      <c r="O687" t="str">
        <f t="shared" si="30"/>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_xlfn.XLOOKUP(C688,customers!$A$2:$A$1001,customers!$B$2:$B$1001,,0)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 MATCH(orders!$D688, products!$A$1:$A$49, 0), MATCH(orders!I$1, products!$A$1:$G$1, 0))</f>
        <v>Rob</v>
      </c>
      <c r="J688" t="str">
        <f>INDEX(products!$A$1:$G$49, MATCH(orders!$D688, products!$A$1:$A$49, 0), MATCH(orders!J$1, products!$A$1:$G$1, 0))</f>
        <v>D</v>
      </c>
      <c r="K688" s="5">
        <f>INDEX(products!$A$1:$G$49, MATCH(orders!$D688, products!$A$1:$A$49, 0), MATCH(orders!K$1, products!$A$1:$G$1, 0))</f>
        <v>0.2</v>
      </c>
      <c r="L688" s="6">
        <f>INDEX(products!$A$1:$G$49, MATCH(orders!$D688, products!$A$1:$A$49, 0), MATCH(orders!L$1, products!$A$1:$G$1, 0))</f>
        <v>2.6849999999999996</v>
      </c>
      <c r="M688" s="6">
        <f t="shared" si="31"/>
        <v>8.0549999999999997</v>
      </c>
      <c r="N688" t="str">
        <f t="shared" si="32"/>
        <v>Robusta</v>
      </c>
      <c r="O688" t="str">
        <f t="shared" si="30"/>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_xlfn.XLOOKUP(C689,customers!$A$2:$A$1001,customers!$B$2:$B$1001,,0)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 MATCH(orders!$D689, products!$A$1:$A$49, 0), MATCH(orders!I$1, products!$A$1:$G$1, 0))</f>
        <v>Exc</v>
      </c>
      <c r="J689" t="str">
        <f>INDEX(products!$A$1:$G$49, MATCH(orders!$D689, products!$A$1:$A$49, 0), MATCH(orders!J$1, products!$A$1:$G$1, 0))</f>
        <v>M</v>
      </c>
      <c r="K689" s="5">
        <f>INDEX(products!$A$1:$G$49, MATCH(orders!$D689, products!$A$1:$A$49, 0), MATCH(orders!K$1, products!$A$1:$G$1, 0))</f>
        <v>0.5</v>
      </c>
      <c r="L689" s="6">
        <f>INDEX(products!$A$1:$G$49, MATCH(orders!$D689, products!$A$1:$A$49, 0), MATCH(orders!L$1, products!$A$1:$G$1, 0))</f>
        <v>8.25</v>
      </c>
      <c r="M689" s="6">
        <f t="shared" si="31"/>
        <v>16.5</v>
      </c>
      <c r="N689" t="str">
        <f t="shared" si="32"/>
        <v>Excelsa</v>
      </c>
      <c r="O689" t="str">
        <f t="shared" si="30"/>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_xlfn.XLOOKUP(C690,customers!$A$2:$A$1001,customers!$B$2:$B$1001,,0)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 MATCH(orders!$D690, products!$A$1:$A$49, 0), MATCH(orders!I$1, products!$A$1:$G$1, 0))</f>
        <v>Ara</v>
      </c>
      <c r="J690" t="str">
        <f>INDEX(products!$A$1:$G$49, MATCH(orders!$D690, products!$A$1:$A$49, 0), MATCH(orders!J$1, products!$A$1:$G$1, 0))</f>
        <v>L</v>
      </c>
      <c r="K690" s="5">
        <f>INDEX(products!$A$1:$G$49, MATCH(orders!$D690, products!$A$1:$A$49, 0), MATCH(orders!K$1, products!$A$1:$G$1, 0))</f>
        <v>1</v>
      </c>
      <c r="L690" s="6">
        <f>INDEX(products!$A$1:$G$49, MATCH(orders!$D690, products!$A$1:$A$49, 0), MATCH(orders!L$1, products!$A$1:$G$1, 0))</f>
        <v>12.95</v>
      </c>
      <c r="M690" s="6">
        <f t="shared" si="31"/>
        <v>64.75</v>
      </c>
      <c r="N690" t="str">
        <f t="shared" si="32"/>
        <v>Arabica</v>
      </c>
      <c r="O690" t="str">
        <f t="shared" si="30"/>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_xlfn.XLOOKUP(C691,customers!$A$2:$A$1001,customers!$B$2:$B$1001,,0)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 MATCH(orders!$D691, products!$A$1:$A$49, 0), MATCH(orders!I$1, products!$A$1:$G$1, 0))</f>
        <v>Ara</v>
      </c>
      <c r="J691" t="str">
        <f>INDEX(products!$A$1:$G$49, MATCH(orders!$D691, products!$A$1:$A$49, 0), MATCH(orders!J$1, products!$A$1:$G$1, 0))</f>
        <v>M</v>
      </c>
      <c r="K691" s="5">
        <f>INDEX(products!$A$1:$G$49, MATCH(orders!$D691, products!$A$1:$A$49, 0), MATCH(orders!K$1, products!$A$1:$G$1, 0))</f>
        <v>0.5</v>
      </c>
      <c r="L691" s="6">
        <f>INDEX(products!$A$1:$G$49, MATCH(orders!$D691, products!$A$1:$A$49, 0), MATCH(orders!L$1, products!$A$1:$G$1, 0))</f>
        <v>6.75</v>
      </c>
      <c r="M691" s="6">
        <f t="shared" si="31"/>
        <v>33.75</v>
      </c>
      <c r="N691" t="str">
        <f t="shared" si="32"/>
        <v>Arabica</v>
      </c>
      <c r="O691" t="str">
        <f t="shared" si="30"/>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_xlfn.XLOOKUP(C692,customers!$A$2:$A$1001,customers!$B$2:$B$1001,,0)</f>
        <v>Francesco Dressel</v>
      </c>
      <c r="G692" s="2" t="str">
        <f>IF(_xlfn.XLOOKUP(C692,customers!$A$1:$A$1001,customers!$C$1:$C$1001,,0)=0,"",_xlfn.XLOOKUP(C692,customers!$A$1:$A$1001,customers!$C$1:$C$1001,,0))</f>
        <v/>
      </c>
      <c r="H692" s="2" t="str">
        <f>_xlfn.XLOOKUP(C692,customers!$A$1:$A$1001,customers!$G$1:$G$1001,,0)</f>
        <v>United States</v>
      </c>
      <c r="I692" t="str">
        <f>INDEX(products!$A$1:$G$49, MATCH(orders!$D692, products!$A$1:$A$49, 0), MATCH(orders!I$1, products!$A$1:$G$1, 0))</f>
        <v>Lib</v>
      </c>
      <c r="J692" t="str">
        <f>INDEX(products!$A$1:$G$49, MATCH(orders!$D692, products!$A$1:$A$49, 0), MATCH(orders!J$1, products!$A$1:$G$1, 0))</f>
        <v>D</v>
      </c>
      <c r="K692" s="5">
        <f>INDEX(products!$A$1:$G$49, MATCH(orders!$D692, products!$A$1:$A$49, 0), MATCH(orders!K$1, products!$A$1:$G$1, 0))</f>
        <v>2.5</v>
      </c>
      <c r="L692" s="6">
        <f>INDEX(products!$A$1:$G$49, MATCH(orders!$D692, products!$A$1:$A$49, 0), MATCH(orders!L$1, products!$A$1:$G$1, 0))</f>
        <v>29.784999999999997</v>
      </c>
      <c r="M692" s="6">
        <f t="shared" si="31"/>
        <v>178.70999999999998</v>
      </c>
      <c r="N692" t="str">
        <f t="shared" si="32"/>
        <v>Liberica</v>
      </c>
      <c r="O692" t="str">
        <f t="shared" si="30"/>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_xlfn.XLOOKUP(C693,customers!$A$2:$A$1001,customers!$B$2:$B$1001,,0)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 MATCH(orders!$D693, products!$A$1:$A$49, 0), MATCH(orders!I$1, products!$A$1:$G$1, 0))</f>
        <v>Ara</v>
      </c>
      <c r="J693" t="str">
        <f>INDEX(products!$A$1:$G$49, MATCH(orders!$D693, products!$A$1:$A$49, 0), MATCH(orders!J$1, products!$A$1:$G$1, 0))</f>
        <v>M</v>
      </c>
      <c r="K693" s="5">
        <f>INDEX(products!$A$1:$G$49, MATCH(orders!$D693, products!$A$1:$A$49, 0), MATCH(orders!K$1, products!$A$1:$G$1, 0))</f>
        <v>1</v>
      </c>
      <c r="L693" s="6">
        <f>INDEX(products!$A$1:$G$49, MATCH(orders!$D693, products!$A$1:$A$49, 0), MATCH(orders!L$1, products!$A$1:$G$1, 0))</f>
        <v>11.25</v>
      </c>
      <c r="M693" s="6">
        <f t="shared" si="31"/>
        <v>22.5</v>
      </c>
      <c r="N693" t="str">
        <f t="shared" si="32"/>
        <v>Arabica</v>
      </c>
      <c r="O693" t="str">
        <f t="shared" si="30"/>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_xlfn.XLOOKUP(C694,customers!$A$2:$A$1001,customers!$B$2:$B$1001,,0)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 MATCH(orders!$D694, products!$A$1:$A$49, 0), MATCH(orders!I$1, products!$A$1:$G$1, 0))</f>
        <v>Lib</v>
      </c>
      <c r="J694" t="str">
        <f>INDEX(products!$A$1:$G$49, MATCH(orders!$D694, products!$A$1:$A$49, 0), MATCH(orders!J$1, products!$A$1:$G$1, 0))</f>
        <v>D</v>
      </c>
      <c r="K694" s="5">
        <f>INDEX(products!$A$1:$G$49, MATCH(orders!$D694, products!$A$1:$A$49, 0), MATCH(orders!K$1, products!$A$1:$G$1, 0))</f>
        <v>1</v>
      </c>
      <c r="L694" s="6">
        <f>INDEX(products!$A$1:$G$49, MATCH(orders!$D694, products!$A$1:$A$49, 0), MATCH(orders!L$1, products!$A$1:$G$1, 0))</f>
        <v>12.95</v>
      </c>
      <c r="M694" s="6">
        <f t="shared" si="31"/>
        <v>12.95</v>
      </c>
      <c r="N694" t="str">
        <f t="shared" si="32"/>
        <v>Liberica</v>
      </c>
      <c r="O694" t="str">
        <f t="shared" si="30"/>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_xlfn.XLOOKUP(C695,customers!$A$2:$A$1001,customers!$B$2:$B$1001,,0)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 MATCH(orders!$D695, products!$A$1:$A$49, 0), MATCH(orders!I$1, products!$A$1:$G$1, 0))</f>
        <v>Ara</v>
      </c>
      <c r="J695" t="str">
        <f>INDEX(products!$A$1:$G$49, MATCH(orders!$D695, products!$A$1:$A$49, 0), MATCH(orders!J$1, products!$A$1:$G$1, 0))</f>
        <v>M</v>
      </c>
      <c r="K695" s="5">
        <f>INDEX(products!$A$1:$G$49, MATCH(orders!$D695, products!$A$1:$A$49, 0), MATCH(orders!K$1, products!$A$1:$G$1, 0))</f>
        <v>2.5</v>
      </c>
      <c r="L695" s="6">
        <f>INDEX(products!$A$1:$G$49, MATCH(orders!$D695, products!$A$1:$A$49, 0), MATCH(orders!L$1, products!$A$1:$G$1, 0))</f>
        <v>25.874999999999996</v>
      </c>
      <c r="M695" s="6">
        <f t="shared" si="31"/>
        <v>51.749999999999993</v>
      </c>
      <c r="N695" t="str">
        <f t="shared" si="32"/>
        <v>Arabica</v>
      </c>
      <c r="O695" t="str">
        <f t="shared" si="30"/>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_xlfn.XLOOKUP(C696,customers!$A$2:$A$1001,customers!$B$2:$B$1001,,0)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 MATCH(orders!$D696, products!$A$1:$A$49, 0), MATCH(orders!I$1, products!$A$1:$G$1, 0))</f>
        <v>Exc</v>
      </c>
      <c r="J696" t="str">
        <f>INDEX(products!$A$1:$G$49, MATCH(orders!$D696, products!$A$1:$A$49, 0), MATCH(orders!J$1, products!$A$1:$G$1, 0))</f>
        <v>D</v>
      </c>
      <c r="K696" s="5">
        <f>INDEX(products!$A$1:$G$49, MATCH(orders!$D696, products!$A$1:$A$49, 0), MATCH(orders!K$1, products!$A$1:$G$1, 0))</f>
        <v>0.5</v>
      </c>
      <c r="L696" s="6">
        <f>INDEX(products!$A$1:$G$49, MATCH(orders!$D696, products!$A$1:$A$49, 0), MATCH(orders!L$1, products!$A$1:$G$1, 0))</f>
        <v>7.29</v>
      </c>
      <c r="M696" s="6">
        <f t="shared" si="31"/>
        <v>36.450000000000003</v>
      </c>
      <c r="N696" t="str">
        <f t="shared" si="32"/>
        <v>Excelsa</v>
      </c>
      <c r="O696" t="str">
        <f t="shared" si="30"/>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_xlfn.XLOOKUP(C697,customers!$A$2:$A$1001,customers!$B$2:$B$1001,,0)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 MATCH(orders!$D697, products!$A$1:$A$49, 0), MATCH(orders!I$1, products!$A$1:$G$1, 0))</f>
        <v>Lib</v>
      </c>
      <c r="J697" t="str">
        <f>INDEX(products!$A$1:$G$49, MATCH(orders!$D697, products!$A$1:$A$49, 0), MATCH(orders!J$1, products!$A$1:$G$1, 0))</f>
        <v>L</v>
      </c>
      <c r="K697" s="5">
        <f>INDEX(products!$A$1:$G$49, MATCH(orders!$D697, products!$A$1:$A$49, 0), MATCH(orders!K$1, products!$A$1:$G$1, 0))</f>
        <v>2.5</v>
      </c>
      <c r="L697" s="6">
        <f>INDEX(products!$A$1:$G$49, MATCH(orders!$D697, products!$A$1:$A$49, 0), MATCH(orders!L$1, products!$A$1:$G$1, 0))</f>
        <v>36.454999999999998</v>
      </c>
      <c r="M697" s="6">
        <f t="shared" si="31"/>
        <v>182.27499999999998</v>
      </c>
      <c r="N697" t="str">
        <f t="shared" si="32"/>
        <v>Liberica</v>
      </c>
      <c r="O697" t="str">
        <f t="shared" si="30"/>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_xlfn.XLOOKUP(C698,customers!$A$2:$A$1001,customers!$B$2:$B$1001,,0)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 MATCH(orders!$D698, products!$A$1:$A$49, 0), MATCH(orders!I$1, products!$A$1:$G$1, 0))</f>
        <v>Lib</v>
      </c>
      <c r="J698" t="str">
        <f>INDEX(products!$A$1:$G$49, MATCH(orders!$D698, products!$A$1:$A$49, 0), MATCH(orders!J$1, products!$A$1:$G$1, 0))</f>
        <v>D</v>
      </c>
      <c r="K698" s="5">
        <f>INDEX(products!$A$1:$G$49, MATCH(orders!$D698, products!$A$1:$A$49, 0), MATCH(orders!K$1, products!$A$1:$G$1, 0))</f>
        <v>0.5</v>
      </c>
      <c r="L698" s="6">
        <f>INDEX(products!$A$1:$G$49, MATCH(orders!$D698, products!$A$1:$A$49, 0), MATCH(orders!L$1, products!$A$1:$G$1, 0))</f>
        <v>7.77</v>
      </c>
      <c r="M698" s="6">
        <f t="shared" si="31"/>
        <v>31.08</v>
      </c>
      <c r="N698" t="str">
        <f t="shared" si="32"/>
        <v>Liberica</v>
      </c>
      <c r="O698" t="str">
        <f t="shared" si="30"/>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_xlfn.XLOOKUP(C699,customers!$A$2:$A$1001,customers!$B$2:$B$1001,,0)</f>
        <v>Myrle Dearden</v>
      </c>
      <c r="G699" s="2" t="str">
        <f>IF(_xlfn.XLOOKUP(C699,customers!$A$1:$A$1001,customers!$C$1:$C$1001,,0)=0,"",_xlfn.XLOOKUP(C699,customers!$A$1:$A$1001,customers!$C$1:$C$1001,,0))</f>
        <v/>
      </c>
      <c r="H699" s="2" t="str">
        <f>_xlfn.XLOOKUP(C699,customers!$A$1:$A$1001,customers!$G$1:$G$1001,,0)</f>
        <v>Ireland</v>
      </c>
      <c r="I699" t="str">
        <f>INDEX(products!$A$1:$G$49, MATCH(orders!$D699, products!$A$1:$A$49, 0), MATCH(orders!I$1, products!$A$1:$G$1, 0))</f>
        <v>Ara</v>
      </c>
      <c r="J699" t="str">
        <f>INDEX(products!$A$1:$G$49, MATCH(orders!$D699, products!$A$1:$A$49, 0), MATCH(orders!J$1, products!$A$1:$G$1, 0))</f>
        <v>M</v>
      </c>
      <c r="K699" s="5">
        <f>INDEX(products!$A$1:$G$49, MATCH(orders!$D699, products!$A$1:$A$49, 0), MATCH(orders!K$1, products!$A$1:$G$1, 0))</f>
        <v>0.5</v>
      </c>
      <c r="L699" s="6">
        <f>INDEX(products!$A$1:$G$49, MATCH(orders!$D699, products!$A$1:$A$49, 0), MATCH(orders!L$1, products!$A$1:$G$1, 0))</f>
        <v>6.75</v>
      </c>
      <c r="M699" s="6">
        <f t="shared" si="31"/>
        <v>20.25</v>
      </c>
      <c r="N699" t="str">
        <f t="shared" si="32"/>
        <v>Arabica</v>
      </c>
      <c r="O699" t="str">
        <f t="shared" si="30"/>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_xlfn.XLOOKUP(C700,customers!$A$2:$A$1001,customers!$B$2:$B$1001,,0)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 MATCH(orders!$D700, products!$A$1:$A$49, 0), MATCH(orders!I$1, products!$A$1:$G$1, 0))</f>
        <v>Lib</v>
      </c>
      <c r="J700" t="str">
        <f>INDEX(products!$A$1:$G$49, MATCH(orders!$D700, products!$A$1:$A$49, 0), MATCH(orders!J$1, products!$A$1:$G$1, 0))</f>
        <v>D</v>
      </c>
      <c r="K700" s="5">
        <f>INDEX(products!$A$1:$G$49, MATCH(orders!$D700, products!$A$1:$A$49, 0), MATCH(orders!K$1, products!$A$1:$G$1, 0))</f>
        <v>1</v>
      </c>
      <c r="L700" s="6">
        <f>INDEX(products!$A$1:$G$49, MATCH(orders!$D700, products!$A$1:$A$49, 0), MATCH(orders!L$1, products!$A$1:$G$1, 0))</f>
        <v>12.95</v>
      </c>
      <c r="M700" s="6">
        <f t="shared" si="31"/>
        <v>25.9</v>
      </c>
      <c r="N700" t="str">
        <f t="shared" si="32"/>
        <v>Liberica</v>
      </c>
      <c r="O700" t="str">
        <f t="shared" si="30"/>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_xlfn.XLOOKUP(C701,customers!$A$2:$A$1001,customers!$B$2:$B$1001,,0)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 MATCH(orders!$D701, products!$A$1:$A$49, 0), MATCH(orders!I$1, products!$A$1:$G$1, 0))</f>
        <v>Ara</v>
      </c>
      <c r="J701" t="str">
        <f>INDEX(products!$A$1:$G$49, MATCH(orders!$D701, products!$A$1:$A$49, 0), MATCH(orders!J$1, products!$A$1:$G$1, 0))</f>
        <v>D</v>
      </c>
      <c r="K701" s="5">
        <f>INDEX(products!$A$1:$G$49, MATCH(orders!$D701, products!$A$1:$A$49, 0), MATCH(orders!K$1, products!$A$1:$G$1, 0))</f>
        <v>0.5</v>
      </c>
      <c r="L701" s="6">
        <f>INDEX(products!$A$1:$G$49, MATCH(orders!$D701, products!$A$1:$A$49, 0), MATCH(orders!L$1, products!$A$1:$G$1, 0))</f>
        <v>5.97</v>
      </c>
      <c r="M701" s="6">
        <f t="shared" si="31"/>
        <v>23.88</v>
      </c>
      <c r="N701" t="str">
        <f t="shared" si="32"/>
        <v>Arabica</v>
      </c>
      <c r="O701" t="str">
        <f t="shared" si="30"/>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_xlfn.XLOOKUP(C702,customers!$A$2:$A$1001,customers!$B$2:$B$1001,,0)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 MATCH(orders!$D702, products!$A$1:$A$49, 0), MATCH(orders!I$1, products!$A$1:$G$1, 0))</f>
        <v>Lib</v>
      </c>
      <c r="J702" t="str">
        <f>INDEX(products!$A$1:$G$49, MATCH(orders!$D702, products!$A$1:$A$49, 0), MATCH(orders!J$1, products!$A$1:$G$1, 0))</f>
        <v>L</v>
      </c>
      <c r="K702" s="5">
        <f>INDEX(products!$A$1:$G$49, MATCH(orders!$D702, products!$A$1:$A$49, 0), MATCH(orders!K$1, products!$A$1:$G$1, 0))</f>
        <v>0.5</v>
      </c>
      <c r="L702" s="6">
        <f>INDEX(products!$A$1:$G$49, MATCH(orders!$D702, products!$A$1:$A$49, 0), MATCH(orders!L$1, products!$A$1:$G$1, 0))</f>
        <v>9.51</v>
      </c>
      <c r="M702" s="6">
        <f t="shared" si="31"/>
        <v>19.02</v>
      </c>
      <c r="N702" t="str">
        <f t="shared" si="32"/>
        <v>Liberica</v>
      </c>
      <c r="O702" t="str">
        <f t="shared" si="30"/>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_xlfn.XLOOKUP(C703,customers!$A$2:$A$1001,customers!$B$2:$B$1001,,0)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 MATCH(orders!$D703, products!$A$1:$A$49, 0), MATCH(orders!I$1, products!$A$1:$G$1, 0))</f>
        <v>Ara</v>
      </c>
      <c r="J703" t="str">
        <f>INDEX(products!$A$1:$G$49, MATCH(orders!$D703, products!$A$1:$A$49, 0), MATCH(orders!J$1, products!$A$1:$G$1, 0))</f>
        <v>D</v>
      </c>
      <c r="K703" s="5">
        <f>INDEX(products!$A$1:$G$49, MATCH(orders!$D703, products!$A$1:$A$49, 0), MATCH(orders!K$1, products!$A$1:$G$1, 0))</f>
        <v>0.5</v>
      </c>
      <c r="L703" s="6">
        <f>INDEX(products!$A$1:$G$49, MATCH(orders!$D703, products!$A$1:$A$49, 0), MATCH(orders!L$1, products!$A$1:$G$1, 0))</f>
        <v>5.97</v>
      </c>
      <c r="M703" s="6">
        <f t="shared" si="31"/>
        <v>29.849999999999998</v>
      </c>
      <c r="N703" t="str">
        <f t="shared" si="32"/>
        <v>Arabica</v>
      </c>
      <c r="O703" t="str">
        <f t="shared" si="30"/>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_xlfn.XLOOKUP(C704,customers!$A$2:$A$1001,customers!$B$2:$B$1001,,0)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 MATCH(orders!$D704, products!$A$1:$A$49, 0), MATCH(orders!I$1, products!$A$1:$G$1, 0))</f>
        <v>Ara</v>
      </c>
      <c r="J704" t="str">
        <f>INDEX(products!$A$1:$G$49, MATCH(orders!$D704, products!$A$1:$A$49, 0), MATCH(orders!J$1, products!$A$1:$G$1, 0))</f>
        <v>L</v>
      </c>
      <c r="K704" s="5">
        <f>INDEX(products!$A$1:$G$49, MATCH(orders!$D704, products!$A$1:$A$49, 0), MATCH(orders!K$1, products!$A$1:$G$1, 0))</f>
        <v>0.5</v>
      </c>
      <c r="L704" s="6">
        <f>INDEX(products!$A$1:$G$49, MATCH(orders!$D704, products!$A$1:$A$49, 0), MATCH(orders!L$1, products!$A$1:$G$1, 0))</f>
        <v>7.77</v>
      </c>
      <c r="M704" s="6">
        <f t="shared" si="31"/>
        <v>7.77</v>
      </c>
      <c r="N704" t="str">
        <f t="shared" si="32"/>
        <v>Arabica</v>
      </c>
      <c r="O704" t="str">
        <f t="shared" si="30"/>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_xlfn.XLOOKUP(C705,customers!$A$2:$A$1001,customers!$B$2:$B$1001,,0)</f>
        <v>Doralin Baison</v>
      </c>
      <c r="G705" s="2" t="str">
        <f>IF(_xlfn.XLOOKUP(C705,customers!$A$1:$A$1001,customers!$C$1:$C$1001,,0)=0,"",_xlfn.XLOOKUP(C705,customers!$A$1:$A$1001,customers!$C$1:$C$1001,,0))</f>
        <v/>
      </c>
      <c r="H705" s="2" t="str">
        <f>_xlfn.XLOOKUP(C705,customers!$A$1:$A$1001,customers!$G$1:$G$1001,,0)</f>
        <v>Ireland</v>
      </c>
      <c r="I705" t="str">
        <f>INDEX(products!$A$1:$G$49, MATCH(orders!$D705, products!$A$1:$A$49, 0), MATCH(orders!I$1, products!$A$1:$G$1, 0))</f>
        <v>Lib</v>
      </c>
      <c r="J705" t="str">
        <f>INDEX(products!$A$1:$G$49, MATCH(orders!$D705, products!$A$1:$A$49, 0), MATCH(orders!J$1, products!$A$1:$G$1, 0))</f>
        <v>D</v>
      </c>
      <c r="K705" s="5">
        <f>INDEX(products!$A$1:$G$49, MATCH(orders!$D705, products!$A$1:$A$49, 0), MATCH(orders!K$1, products!$A$1:$G$1, 0))</f>
        <v>2.5</v>
      </c>
      <c r="L705" s="6">
        <f>INDEX(products!$A$1:$G$49, MATCH(orders!$D705, products!$A$1:$A$49, 0), MATCH(orders!L$1, products!$A$1:$G$1, 0))</f>
        <v>29.784999999999997</v>
      </c>
      <c r="M705" s="6">
        <f t="shared" si="31"/>
        <v>119.13999999999999</v>
      </c>
      <c r="N705" t="str">
        <f t="shared" si="32"/>
        <v>Liberica</v>
      </c>
      <c r="O705" t="str">
        <f t="shared" si="30"/>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_xlfn.XLOOKUP(C706,customers!$A$2:$A$1001,customers!$B$2:$B$1001,,0)</f>
        <v>Josefina Ferens</v>
      </c>
      <c r="G706" s="2" t="str">
        <f>IF(_xlfn.XLOOKUP(C706,customers!$A$1:$A$1001,customers!$C$1:$C$1001,,0)=0,"",_xlfn.XLOOKUP(C706,customers!$A$1:$A$1001,customers!$C$1:$C$1001,,0))</f>
        <v/>
      </c>
      <c r="H706" s="2" t="str">
        <f>_xlfn.XLOOKUP(C706,customers!$A$1:$A$1001,customers!$G$1:$G$1001,,0)</f>
        <v>United States</v>
      </c>
      <c r="I706" t="str">
        <f>INDEX(products!$A$1:$G$49, MATCH(orders!$D706, products!$A$1:$A$49, 0), MATCH(orders!I$1, products!$A$1:$G$1, 0))</f>
        <v>Exc</v>
      </c>
      <c r="J706" t="str">
        <f>INDEX(products!$A$1:$G$49, MATCH(orders!$D706, products!$A$1:$A$49, 0), MATCH(orders!J$1, products!$A$1:$G$1, 0))</f>
        <v>D</v>
      </c>
      <c r="K706" s="5">
        <f>INDEX(products!$A$1:$G$49, MATCH(orders!$D706, products!$A$1:$A$49, 0), MATCH(orders!K$1, products!$A$1:$G$1, 0))</f>
        <v>0.2</v>
      </c>
      <c r="L706" s="6">
        <f>INDEX(products!$A$1:$G$49, MATCH(orders!$D706, products!$A$1:$A$49, 0), MATCH(orders!L$1, products!$A$1:$G$1, 0))</f>
        <v>3.645</v>
      </c>
      <c r="M706" s="6">
        <f t="shared" si="31"/>
        <v>21.87</v>
      </c>
      <c r="N706" t="str">
        <f t="shared" si="32"/>
        <v>Excelsa</v>
      </c>
      <c r="O706" t="str">
        <f t="shared" ref="O706:O769" si="33">IF(J706="M","Medium",IF(J706="l","Light",IF(J706="d","Dark","")))</f>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_xlfn.XLOOKUP(C707,customers!$A$2:$A$1001,customers!$B$2:$B$1001,,0)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 MATCH(orders!$D707, products!$A$1:$A$49, 0), MATCH(orders!I$1, products!$A$1:$G$1, 0))</f>
        <v>Exc</v>
      </c>
      <c r="J707" t="str">
        <f>INDEX(products!$A$1:$G$49, MATCH(orders!$D707, products!$A$1:$A$49, 0), MATCH(orders!J$1, products!$A$1:$G$1, 0))</f>
        <v>L</v>
      </c>
      <c r="K707" s="5">
        <f>INDEX(products!$A$1:$G$49, MATCH(orders!$D707, products!$A$1:$A$49, 0), MATCH(orders!K$1, products!$A$1:$G$1, 0))</f>
        <v>0.5</v>
      </c>
      <c r="L707" s="6">
        <f>INDEX(products!$A$1:$G$49, MATCH(orders!$D707, products!$A$1:$A$49, 0), MATCH(orders!L$1, products!$A$1:$G$1, 0))</f>
        <v>8.91</v>
      </c>
      <c r="M707" s="6">
        <f t="shared" ref="M707:M770" si="34">L707*E707</f>
        <v>17.82</v>
      </c>
      <c r="N707" t="str">
        <f t="shared" ref="N707:N770" si="35">IF(I707="Rob","Robusta",IF(I707="Exc","Excelsa",IF(I707="Ara","Arabica",IF(I707="lib","Liberica",""))))</f>
        <v>Excelsa</v>
      </c>
      <c r="O707" t="str">
        <f t="shared" si="33"/>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_xlfn.XLOOKUP(C708,customers!$A$2:$A$1001,customers!$B$2:$B$1001,,0)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 MATCH(orders!$D708, products!$A$1:$A$49, 0), MATCH(orders!I$1, products!$A$1:$G$1, 0))</f>
        <v>Exc</v>
      </c>
      <c r="J708" t="str">
        <f>INDEX(products!$A$1:$G$49, MATCH(orders!$D708, products!$A$1:$A$49, 0), MATCH(orders!J$1, products!$A$1:$G$1, 0))</f>
        <v>M</v>
      </c>
      <c r="K708" s="5">
        <f>INDEX(products!$A$1:$G$49, MATCH(orders!$D708, products!$A$1:$A$49, 0), MATCH(orders!K$1, products!$A$1:$G$1, 0))</f>
        <v>0.2</v>
      </c>
      <c r="L708" s="6">
        <f>INDEX(products!$A$1:$G$49, MATCH(orders!$D708, products!$A$1:$A$49, 0), MATCH(orders!L$1, products!$A$1:$G$1, 0))</f>
        <v>4.125</v>
      </c>
      <c r="M708" s="6">
        <f t="shared" si="34"/>
        <v>12.375</v>
      </c>
      <c r="N708" t="str">
        <f t="shared" si="35"/>
        <v>Excelsa</v>
      </c>
      <c r="O708" t="str">
        <f t="shared" si="33"/>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_xlfn.XLOOKUP(C709,customers!$A$2:$A$1001,customers!$B$2:$B$1001,,0)</f>
        <v>Nicolas Aiton</v>
      </c>
      <c r="G709" s="2" t="str">
        <f>IF(_xlfn.XLOOKUP(C709,customers!$A$1:$A$1001,customers!$C$1:$C$1001,,0)=0,"",_xlfn.XLOOKUP(C709,customers!$A$1:$A$1001,customers!$C$1:$C$1001,,0))</f>
        <v/>
      </c>
      <c r="H709" s="2" t="str">
        <f>_xlfn.XLOOKUP(C709,customers!$A$1:$A$1001,customers!$G$1:$G$1001,,0)</f>
        <v>Ireland</v>
      </c>
      <c r="I709" t="str">
        <f>INDEX(products!$A$1:$G$49, MATCH(orders!$D709, products!$A$1:$A$49, 0), MATCH(orders!I$1, products!$A$1:$G$1, 0))</f>
        <v>Lib</v>
      </c>
      <c r="J709" t="str">
        <f>INDEX(products!$A$1:$G$49, MATCH(orders!$D709, products!$A$1:$A$49, 0), MATCH(orders!J$1, products!$A$1:$G$1, 0))</f>
        <v>D</v>
      </c>
      <c r="K709" s="5">
        <f>INDEX(products!$A$1:$G$49, MATCH(orders!$D709, products!$A$1:$A$49, 0), MATCH(orders!K$1, products!$A$1:$G$1, 0))</f>
        <v>1</v>
      </c>
      <c r="L709" s="6">
        <f>INDEX(products!$A$1:$G$49, MATCH(orders!$D709, products!$A$1:$A$49, 0), MATCH(orders!L$1, products!$A$1:$G$1, 0))</f>
        <v>12.95</v>
      </c>
      <c r="M709" s="6">
        <f t="shared" si="34"/>
        <v>25.9</v>
      </c>
      <c r="N709" t="str">
        <f t="shared" si="35"/>
        <v>Liberica</v>
      </c>
      <c r="O709" t="str">
        <f t="shared" si="33"/>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_xlfn.XLOOKUP(C710,customers!$A$2:$A$1001,customers!$B$2:$B$1001,,0)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 MATCH(orders!$D710, products!$A$1:$A$49, 0), MATCH(orders!I$1, products!$A$1:$G$1, 0))</f>
        <v>Ara</v>
      </c>
      <c r="J710" t="str">
        <f>INDEX(products!$A$1:$G$49, MATCH(orders!$D710, products!$A$1:$A$49, 0), MATCH(orders!J$1, products!$A$1:$G$1, 0))</f>
        <v>M</v>
      </c>
      <c r="K710" s="5">
        <f>INDEX(products!$A$1:$G$49, MATCH(orders!$D710, products!$A$1:$A$49, 0), MATCH(orders!K$1, products!$A$1:$G$1, 0))</f>
        <v>0.5</v>
      </c>
      <c r="L710" s="6">
        <f>INDEX(products!$A$1:$G$49, MATCH(orders!$D710, products!$A$1:$A$49, 0), MATCH(orders!L$1, products!$A$1:$G$1, 0))</f>
        <v>6.75</v>
      </c>
      <c r="M710" s="6">
        <f t="shared" si="34"/>
        <v>13.5</v>
      </c>
      <c r="N710" t="str">
        <f t="shared" si="35"/>
        <v>Arabica</v>
      </c>
      <c r="O710" t="str">
        <f t="shared" si="33"/>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_xlfn.XLOOKUP(C711,customers!$A$2:$A$1001,customers!$B$2:$B$1001,,0)</f>
        <v>Lyell Murch</v>
      </c>
      <c r="G711" s="2" t="str">
        <f>IF(_xlfn.XLOOKUP(C711,customers!$A$1:$A$1001,customers!$C$1:$C$1001,,0)=0,"",_xlfn.XLOOKUP(C711,customers!$A$1:$A$1001,customers!$C$1:$C$1001,,0))</f>
        <v/>
      </c>
      <c r="H711" s="2" t="str">
        <f>_xlfn.XLOOKUP(C711,customers!$A$1:$A$1001,customers!$G$1:$G$1001,,0)</f>
        <v>United States</v>
      </c>
      <c r="I711" t="str">
        <f>INDEX(products!$A$1:$G$49, MATCH(orders!$D711, products!$A$1:$A$49, 0), MATCH(orders!I$1, products!$A$1:$G$1, 0))</f>
        <v>Exc</v>
      </c>
      <c r="J711" t="str">
        <f>INDEX(products!$A$1:$G$49, MATCH(orders!$D711, products!$A$1:$A$49, 0), MATCH(orders!J$1, products!$A$1:$G$1, 0))</f>
        <v>L</v>
      </c>
      <c r="K711" s="5">
        <f>INDEX(products!$A$1:$G$49, MATCH(orders!$D711, products!$A$1:$A$49, 0), MATCH(orders!K$1, products!$A$1:$G$1, 0))</f>
        <v>0.5</v>
      </c>
      <c r="L711" s="6">
        <f>INDEX(products!$A$1:$G$49, MATCH(orders!$D711, products!$A$1:$A$49, 0), MATCH(orders!L$1, products!$A$1:$G$1, 0))</f>
        <v>8.91</v>
      </c>
      <c r="M711" s="6">
        <f t="shared" si="34"/>
        <v>17.82</v>
      </c>
      <c r="N711" t="str">
        <f t="shared" si="35"/>
        <v>Excelsa</v>
      </c>
      <c r="O711" t="str">
        <f t="shared" si="33"/>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_xlfn.XLOOKUP(C712,customers!$A$2:$A$1001,customers!$B$2:$B$1001,,0)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 MATCH(orders!$D712, products!$A$1:$A$49, 0), MATCH(orders!I$1, products!$A$1:$G$1, 0))</f>
        <v>Exc</v>
      </c>
      <c r="J712" t="str">
        <f>INDEX(products!$A$1:$G$49, MATCH(orders!$D712, products!$A$1:$A$49, 0), MATCH(orders!J$1, products!$A$1:$G$1, 0))</f>
        <v>M</v>
      </c>
      <c r="K712" s="5">
        <f>INDEX(products!$A$1:$G$49, MATCH(orders!$D712, products!$A$1:$A$49, 0), MATCH(orders!K$1, products!$A$1:$G$1, 0))</f>
        <v>0.5</v>
      </c>
      <c r="L712" s="6">
        <f>INDEX(products!$A$1:$G$49, MATCH(orders!$D712, products!$A$1:$A$49, 0), MATCH(orders!L$1, products!$A$1:$G$1, 0))</f>
        <v>8.25</v>
      </c>
      <c r="M712" s="6">
        <f t="shared" si="34"/>
        <v>24.75</v>
      </c>
      <c r="N712" t="str">
        <f t="shared" si="35"/>
        <v>Excelsa</v>
      </c>
      <c r="O712" t="str">
        <f t="shared" si="33"/>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_xlfn.XLOOKUP(C713,customers!$A$2:$A$1001,customers!$B$2:$B$1001,,0)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 MATCH(orders!$D713, products!$A$1:$A$49, 0), MATCH(orders!I$1, products!$A$1:$G$1, 0))</f>
        <v>Rob</v>
      </c>
      <c r="J713" t="str">
        <f>INDEX(products!$A$1:$G$49, MATCH(orders!$D713, products!$A$1:$A$49, 0), MATCH(orders!J$1, products!$A$1:$G$1, 0))</f>
        <v>M</v>
      </c>
      <c r="K713" s="5">
        <f>INDEX(products!$A$1:$G$49, MATCH(orders!$D713, products!$A$1:$A$49, 0), MATCH(orders!K$1, products!$A$1:$G$1, 0))</f>
        <v>0.2</v>
      </c>
      <c r="L713" s="6">
        <f>INDEX(products!$A$1:$G$49, MATCH(orders!$D713, products!$A$1:$A$49, 0), MATCH(orders!L$1, products!$A$1:$G$1, 0))</f>
        <v>2.9849999999999999</v>
      </c>
      <c r="M713" s="6">
        <f t="shared" si="34"/>
        <v>17.91</v>
      </c>
      <c r="N713" t="str">
        <f t="shared" si="35"/>
        <v>Robusta</v>
      </c>
      <c r="O713" t="str">
        <f t="shared" si="33"/>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_xlfn.XLOOKUP(C714,customers!$A$2:$A$1001,customers!$B$2:$B$1001,,0)</f>
        <v>Silas Deehan</v>
      </c>
      <c r="G714" s="2" t="str">
        <f>IF(_xlfn.XLOOKUP(C714,customers!$A$1:$A$1001,customers!$C$1:$C$1001,,0)=0,"",_xlfn.XLOOKUP(C714,customers!$A$1:$A$1001,customers!$C$1:$C$1001,,0))</f>
        <v/>
      </c>
      <c r="H714" s="2" t="str">
        <f>_xlfn.XLOOKUP(C714,customers!$A$1:$A$1001,customers!$G$1:$G$1001,,0)</f>
        <v>United Kingdom</v>
      </c>
      <c r="I714" t="str">
        <f>INDEX(products!$A$1:$G$49, MATCH(orders!$D714, products!$A$1:$A$49, 0), MATCH(orders!I$1, products!$A$1:$G$1, 0))</f>
        <v>Exc</v>
      </c>
      <c r="J714" t="str">
        <f>INDEX(products!$A$1:$G$49, MATCH(orders!$D714, products!$A$1:$A$49, 0), MATCH(orders!J$1, products!$A$1:$G$1, 0))</f>
        <v>M</v>
      </c>
      <c r="K714" s="5">
        <f>INDEX(products!$A$1:$G$49, MATCH(orders!$D714, products!$A$1:$A$49, 0), MATCH(orders!K$1, products!$A$1:$G$1, 0))</f>
        <v>0.5</v>
      </c>
      <c r="L714" s="6">
        <f>INDEX(products!$A$1:$G$49, MATCH(orders!$D714, products!$A$1:$A$49, 0), MATCH(orders!L$1, products!$A$1:$G$1, 0))</f>
        <v>8.25</v>
      </c>
      <c r="M714" s="6">
        <f t="shared" si="34"/>
        <v>16.5</v>
      </c>
      <c r="N714" t="str">
        <f t="shared" si="35"/>
        <v>Excelsa</v>
      </c>
      <c r="O714" t="str">
        <f t="shared" si="33"/>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_xlfn.XLOOKUP(C715,customers!$A$2:$A$1001,customers!$B$2:$B$1001,,0)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 MATCH(orders!$D715, products!$A$1:$A$49, 0), MATCH(orders!I$1, products!$A$1:$G$1, 0))</f>
        <v>Rob</v>
      </c>
      <c r="J715" t="str">
        <f>INDEX(products!$A$1:$G$49, MATCH(orders!$D715, products!$A$1:$A$49, 0), MATCH(orders!J$1, products!$A$1:$G$1, 0))</f>
        <v>M</v>
      </c>
      <c r="K715" s="5">
        <f>INDEX(products!$A$1:$G$49, MATCH(orders!$D715, products!$A$1:$A$49, 0), MATCH(orders!K$1, products!$A$1:$G$1, 0))</f>
        <v>0.2</v>
      </c>
      <c r="L715" s="6">
        <f>INDEX(products!$A$1:$G$49, MATCH(orders!$D715, products!$A$1:$A$49, 0), MATCH(orders!L$1, products!$A$1:$G$1, 0))</f>
        <v>2.9849999999999999</v>
      </c>
      <c r="M715" s="6">
        <f t="shared" si="34"/>
        <v>2.9849999999999999</v>
      </c>
      <c r="N715" t="str">
        <f t="shared" si="35"/>
        <v>Robusta</v>
      </c>
      <c r="O715" t="str">
        <f t="shared" si="33"/>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_xlfn.XLOOKUP(C716,customers!$A$2:$A$1001,customers!$B$2:$B$1001,,0)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 MATCH(orders!$D716, products!$A$1:$A$49, 0), MATCH(orders!I$1, products!$A$1:$G$1, 0))</f>
        <v>Exc</v>
      </c>
      <c r="J716" t="str">
        <f>INDEX(products!$A$1:$G$49, MATCH(orders!$D716, products!$A$1:$A$49, 0), MATCH(orders!J$1, products!$A$1:$G$1, 0))</f>
        <v>D</v>
      </c>
      <c r="K716" s="5">
        <f>INDEX(products!$A$1:$G$49, MATCH(orders!$D716, products!$A$1:$A$49, 0), MATCH(orders!K$1, products!$A$1:$G$1, 0))</f>
        <v>0.2</v>
      </c>
      <c r="L716" s="6">
        <f>INDEX(products!$A$1:$G$49, MATCH(orders!$D716, products!$A$1:$A$49, 0), MATCH(orders!L$1, products!$A$1:$G$1, 0))</f>
        <v>3.645</v>
      </c>
      <c r="M716" s="6">
        <f t="shared" si="34"/>
        <v>14.58</v>
      </c>
      <c r="N716" t="str">
        <f t="shared" si="35"/>
        <v>Excelsa</v>
      </c>
      <c r="O716" t="str">
        <f t="shared" si="33"/>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_xlfn.XLOOKUP(C717,customers!$A$2:$A$1001,customers!$B$2:$B$1001,,0)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 MATCH(orders!$D717, products!$A$1:$A$49, 0), MATCH(orders!I$1, products!$A$1:$G$1, 0))</f>
        <v>Exc</v>
      </c>
      <c r="J717" t="str">
        <f>INDEX(products!$A$1:$G$49, MATCH(orders!$D717, products!$A$1:$A$49, 0), MATCH(orders!J$1, products!$A$1:$G$1, 0))</f>
        <v>L</v>
      </c>
      <c r="K717" s="5">
        <f>INDEX(products!$A$1:$G$49, MATCH(orders!$D717, products!$A$1:$A$49, 0), MATCH(orders!K$1, products!$A$1:$G$1, 0))</f>
        <v>1</v>
      </c>
      <c r="L717" s="6">
        <f>INDEX(products!$A$1:$G$49, MATCH(orders!$D717, products!$A$1:$A$49, 0), MATCH(orders!L$1, products!$A$1:$G$1, 0))</f>
        <v>14.85</v>
      </c>
      <c r="M717" s="6">
        <f t="shared" si="34"/>
        <v>89.1</v>
      </c>
      <c r="N717" t="str">
        <f t="shared" si="35"/>
        <v>Excelsa</v>
      </c>
      <c r="O717" t="str">
        <f t="shared" si="33"/>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_xlfn.XLOOKUP(C718,customers!$A$2:$A$1001,customers!$B$2:$B$1001,,0)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 MATCH(orders!$D718, products!$A$1:$A$49, 0), MATCH(orders!I$1, products!$A$1:$G$1, 0))</f>
        <v>Rob</v>
      </c>
      <c r="J718" t="str">
        <f>INDEX(products!$A$1:$G$49, MATCH(orders!$D718, products!$A$1:$A$49, 0), MATCH(orders!J$1, products!$A$1:$G$1, 0))</f>
        <v>L</v>
      </c>
      <c r="K718" s="5">
        <f>INDEX(products!$A$1:$G$49, MATCH(orders!$D718, products!$A$1:$A$49, 0), MATCH(orders!K$1, products!$A$1:$G$1, 0))</f>
        <v>1</v>
      </c>
      <c r="L718" s="6">
        <f>INDEX(products!$A$1:$G$49, MATCH(orders!$D718, products!$A$1:$A$49, 0), MATCH(orders!L$1, products!$A$1:$G$1, 0))</f>
        <v>11.95</v>
      </c>
      <c r="M718" s="6">
        <f t="shared" si="34"/>
        <v>35.849999999999994</v>
      </c>
      <c r="N718" t="str">
        <f t="shared" si="35"/>
        <v>Robusta</v>
      </c>
      <c r="O718" t="str">
        <f t="shared" si="33"/>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_xlfn.XLOOKUP(C719,customers!$A$2:$A$1001,customers!$B$2:$B$1001,,0)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 MATCH(orders!$D719, products!$A$1:$A$49, 0), MATCH(orders!I$1, products!$A$1:$G$1, 0))</f>
        <v>Ara</v>
      </c>
      <c r="J719" t="str">
        <f>INDEX(products!$A$1:$G$49, MATCH(orders!$D719, products!$A$1:$A$49, 0), MATCH(orders!J$1, products!$A$1:$G$1, 0))</f>
        <v>D</v>
      </c>
      <c r="K719" s="5">
        <f>INDEX(products!$A$1:$G$49, MATCH(orders!$D719, products!$A$1:$A$49, 0), MATCH(orders!K$1, products!$A$1:$G$1, 0))</f>
        <v>2.5</v>
      </c>
      <c r="L719" s="6">
        <f>INDEX(products!$A$1:$G$49, MATCH(orders!$D719, products!$A$1:$A$49, 0), MATCH(orders!L$1, products!$A$1:$G$1, 0))</f>
        <v>22.884999999999998</v>
      </c>
      <c r="M719" s="6">
        <f t="shared" si="34"/>
        <v>68.655000000000001</v>
      </c>
      <c r="N719" t="str">
        <f t="shared" si="35"/>
        <v>Arabica</v>
      </c>
      <c r="O719" t="str">
        <f t="shared" si="33"/>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_xlfn.XLOOKUP(C720,customers!$A$2:$A$1001,customers!$B$2:$B$1001,,0)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 MATCH(orders!$D720, products!$A$1:$A$49, 0), MATCH(orders!I$1, products!$A$1:$G$1, 0))</f>
        <v>Lib</v>
      </c>
      <c r="J720" t="str">
        <f>INDEX(products!$A$1:$G$49, MATCH(orders!$D720, products!$A$1:$A$49, 0), MATCH(orders!J$1, products!$A$1:$G$1, 0))</f>
        <v>D</v>
      </c>
      <c r="K720" s="5">
        <f>INDEX(products!$A$1:$G$49, MATCH(orders!$D720, products!$A$1:$A$49, 0), MATCH(orders!K$1, products!$A$1:$G$1, 0))</f>
        <v>1</v>
      </c>
      <c r="L720" s="6">
        <f>INDEX(products!$A$1:$G$49, MATCH(orders!$D720, products!$A$1:$A$49, 0), MATCH(orders!L$1, products!$A$1:$G$1, 0))</f>
        <v>12.95</v>
      </c>
      <c r="M720" s="6">
        <f t="shared" si="34"/>
        <v>38.849999999999994</v>
      </c>
      <c r="N720" t="str">
        <f t="shared" si="35"/>
        <v>Liberica</v>
      </c>
      <c r="O720" t="str">
        <f t="shared" si="33"/>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_xlfn.XLOOKUP(C721,customers!$A$2:$A$1001,customers!$B$2:$B$1001,,0)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 MATCH(orders!$D721, products!$A$1:$A$49, 0), MATCH(orders!I$1, products!$A$1:$G$1, 0))</f>
        <v>Lib</v>
      </c>
      <c r="J721" t="str">
        <f>INDEX(products!$A$1:$G$49, MATCH(orders!$D721, products!$A$1:$A$49, 0), MATCH(orders!J$1, products!$A$1:$G$1, 0))</f>
        <v>L</v>
      </c>
      <c r="K721" s="5">
        <f>INDEX(products!$A$1:$G$49, MATCH(orders!$D721, products!$A$1:$A$49, 0), MATCH(orders!K$1, products!$A$1:$G$1, 0))</f>
        <v>1</v>
      </c>
      <c r="L721" s="6">
        <f>INDEX(products!$A$1:$G$49, MATCH(orders!$D721, products!$A$1:$A$49, 0), MATCH(orders!L$1, products!$A$1:$G$1, 0))</f>
        <v>15.85</v>
      </c>
      <c r="M721" s="6">
        <f t="shared" si="34"/>
        <v>79.25</v>
      </c>
      <c r="N721" t="str">
        <f t="shared" si="35"/>
        <v>Liberica</v>
      </c>
      <c r="O721" t="str">
        <f t="shared" si="33"/>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_xlfn.XLOOKUP(C722,customers!$A$2:$A$1001,customers!$B$2:$B$1001,,0)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 MATCH(orders!$D722, products!$A$1:$A$49, 0), MATCH(orders!I$1, products!$A$1:$G$1, 0))</f>
        <v>Exc</v>
      </c>
      <c r="J722" t="str">
        <f>INDEX(products!$A$1:$G$49, MATCH(orders!$D722, products!$A$1:$A$49, 0), MATCH(orders!J$1, products!$A$1:$G$1, 0))</f>
        <v>D</v>
      </c>
      <c r="K722" s="5">
        <f>INDEX(products!$A$1:$G$49, MATCH(orders!$D722, products!$A$1:$A$49, 0), MATCH(orders!K$1, products!$A$1:$G$1, 0))</f>
        <v>0.5</v>
      </c>
      <c r="L722" s="6">
        <f>INDEX(products!$A$1:$G$49, MATCH(orders!$D722, products!$A$1:$A$49, 0), MATCH(orders!L$1, products!$A$1:$G$1, 0))</f>
        <v>7.29</v>
      </c>
      <c r="M722" s="6">
        <f t="shared" si="34"/>
        <v>36.450000000000003</v>
      </c>
      <c r="N722" t="str">
        <f t="shared" si="35"/>
        <v>Excelsa</v>
      </c>
      <c r="O722" t="str">
        <f t="shared" si="33"/>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_xlfn.XLOOKUP(C723,customers!$A$2:$A$1001,customers!$B$2:$B$1001,,0)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 MATCH(orders!$D723, products!$A$1:$A$49, 0), MATCH(orders!I$1, products!$A$1:$G$1, 0))</f>
        <v>Rob</v>
      </c>
      <c r="J723" t="str">
        <f>INDEX(products!$A$1:$G$49, MATCH(orders!$D723, products!$A$1:$A$49, 0), MATCH(orders!J$1, products!$A$1:$G$1, 0))</f>
        <v>M</v>
      </c>
      <c r="K723" s="5">
        <f>INDEX(products!$A$1:$G$49, MATCH(orders!$D723, products!$A$1:$A$49, 0), MATCH(orders!K$1, products!$A$1:$G$1, 0))</f>
        <v>0.2</v>
      </c>
      <c r="L723" s="6">
        <f>INDEX(products!$A$1:$G$49, MATCH(orders!$D723, products!$A$1:$A$49, 0), MATCH(orders!L$1, products!$A$1:$G$1, 0))</f>
        <v>2.9849999999999999</v>
      </c>
      <c r="M723" s="6">
        <f t="shared" si="34"/>
        <v>8.9550000000000001</v>
      </c>
      <c r="N723" t="str">
        <f t="shared" si="35"/>
        <v>Robusta</v>
      </c>
      <c r="O723" t="str">
        <f t="shared" si="33"/>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_xlfn.XLOOKUP(C724,customers!$A$2:$A$1001,customers!$B$2:$B$1001,,0)</f>
        <v>Hetti Measures</v>
      </c>
      <c r="G724" s="2" t="str">
        <f>IF(_xlfn.XLOOKUP(C724,customers!$A$1:$A$1001,customers!$C$1:$C$1001,,0)=0,"",_xlfn.XLOOKUP(C724,customers!$A$1:$A$1001,customers!$C$1:$C$1001,,0))</f>
        <v/>
      </c>
      <c r="H724" s="2" t="str">
        <f>_xlfn.XLOOKUP(C724,customers!$A$1:$A$1001,customers!$G$1:$G$1001,,0)</f>
        <v>United States</v>
      </c>
      <c r="I724" t="str">
        <f>INDEX(products!$A$1:$G$49, MATCH(orders!$D724, products!$A$1:$A$49, 0), MATCH(orders!I$1, products!$A$1:$G$1, 0))</f>
        <v>Exc</v>
      </c>
      <c r="J724" t="str">
        <f>INDEX(products!$A$1:$G$49, MATCH(orders!$D724, products!$A$1:$A$49, 0), MATCH(orders!J$1, products!$A$1:$G$1, 0))</f>
        <v>D</v>
      </c>
      <c r="K724" s="5">
        <f>INDEX(products!$A$1:$G$49, MATCH(orders!$D724, products!$A$1:$A$49, 0), MATCH(orders!K$1, products!$A$1:$G$1, 0))</f>
        <v>1</v>
      </c>
      <c r="L724" s="6">
        <f>INDEX(products!$A$1:$G$49, MATCH(orders!$D724, products!$A$1:$A$49, 0), MATCH(orders!L$1, products!$A$1:$G$1, 0))</f>
        <v>12.15</v>
      </c>
      <c r="M724" s="6">
        <f t="shared" si="34"/>
        <v>24.3</v>
      </c>
      <c r="N724" t="str">
        <f t="shared" si="35"/>
        <v>Excelsa</v>
      </c>
      <c r="O724" t="str">
        <f t="shared" si="33"/>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_xlfn.XLOOKUP(C725,customers!$A$2:$A$1001,customers!$B$2:$B$1001,,0)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 MATCH(orders!$D725, products!$A$1:$A$49, 0), MATCH(orders!I$1, products!$A$1:$G$1, 0))</f>
        <v>Exc</v>
      </c>
      <c r="J725" t="str">
        <f>INDEX(products!$A$1:$G$49, MATCH(orders!$D725, products!$A$1:$A$49, 0), MATCH(orders!J$1, products!$A$1:$G$1, 0))</f>
        <v>M</v>
      </c>
      <c r="K725" s="5">
        <f>INDEX(products!$A$1:$G$49, MATCH(orders!$D725, products!$A$1:$A$49, 0), MATCH(orders!K$1, products!$A$1:$G$1, 0))</f>
        <v>2.5</v>
      </c>
      <c r="L725" s="6">
        <f>INDEX(products!$A$1:$G$49, MATCH(orders!$D725, products!$A$1:$A$49, 0), MATCH(orders!L$1, products!$A$1:$G$1, 0))</f>
        <v>31.624999999999996</v>
      </c>
      <c r="M725" s="6">
        <f t="shared" si="34"/>
        <v>63.249999999999993</v>
      </c>
      <c r="N725" t="str">
        <f t="shared" si="35"/>
        <v>Excelsa</v>
      </c>
      <c r="O725" t="str">
        <f t="shared" si="33"/>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_xlfn.XLOOKUP(C726,customers!$A$2:$A$1001,customers!$B$2:$B$1001,,0)</f>
        <v>Nico Hubert</v>
      </c>
      <c r="G726" s="2" t="str">
        <f>IF(_xlfn.XLOOKUP(C726,customers!$A$1:$A$1001,customers!$C$1:$C$1001,,0)=0,"",_xlfn.XLOOKUP(C726,customers!$A$1:$A$1001,customers!$C$1:$C$1001,,0))</f>
        <v/>
      </c>
      <c r="H726" s="2" t="str">
        <f>_xlfn.XLOOKUP(C726,customers!$A$1:$A$1001,customers!$G$1:$G$1001,,0)</f>
        <v>United States</v>
      </c>
      <c r="I726" t="str">
        <f>INDEX(products!$A$1:$G$49, MATCH(orders!$D726, products!$A$1:$A$49, 0), MATCH(orders!I$1, products!$A$1:$G$1, 0))</f>
        <v>Ara</v>
      </c>
      <c r="J726" t="str">
        <f>INDEX(products!$A$1:$G$49, MATCH(orders!$D726, products!$A$1:$A$49, 0), MATCH(orders!J$1, products!$A$1:$G$1, 0))</f>
        <v>M</v>
      </c>
      <c r="K726" s="5">
        <f>INDEX(products!$A$1:$G$49, MATCH(orders!$D726, products!$A$1:$A$49, 0), MATCH(orders!K$1, products!$A$1:$G$1, 0))</f>
        <v>0.2</v>
      </c>
      <c r="L726" s="6">
        <f>INDEX(products!$A$1:$G$49, MATCH(orders!$D726, products!$A$1:$A$49, 0), MATCH(orders!L$1, products!$A$1:$G$1, 0))</f>
        <v>3.375</v>
      </c>
      <c r="M726" s="6">
        <f t="shared" si="34"/>
        <v>6.75</v>
      </c>
      <c r="N726" t="str">
        <f t="shared" si="35"/>
        <v>Arabica</v>
      </c>
      <c r="O726" t="str">
        <f t="shared" si="33"/>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_xlfn.XLOOKUP(C727,customers!$A$2:$A$1001,customers!$B$2:$B$1001,,0)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 MATCH(orders!$D727, products!$A$1:$A$49, 0), MATCH(orders!I$1, products!$A$1:$G$1, 0))</f>
        <v>Ara</v>
      </c>
      <c r="J727" t="str">
        <f>INDEX(products!$A$1:$G$49, MATCH(orders!$D727, products!$A$1:$A$49, 0), MATCH(orders!J$1, products!$A$1:$G$1, 0))</f>
        <v>L</v>
      </c>
      <c r="K727" s="5">
        <f>INDEX(products!$A$1:$G$49, MATCH(orders!$D727, products!$A$1:$A$49, 0), MATCH(orders!K$1, products!$A$1:$G$1, 0))</f>
        <v>0.2</v>
      </c>
      <c r="L727" s="6">
        <f>INDEX(products!$A$1:$G$49, MATCH(orders!$D727, products!$A$1:$A$49, 0), MATCH(orders!L$1, products!$A$1:$G$1, 0))</f>
        <v>3.8849999999999998</v>
      </c>
      <c r="M727" s="6">
        <f t="shared" si="34"/>
        <v>23.31</v>
      </c>
      <c r="N727" t="str">
        <f t="shared" si="35"/>
        <v>Arabica</v>
      </c>
      <c r="O727" t="str">
        <f t="shared" si="33"/>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_xlfn.XLOOKUP(C728,customers!$A$2:$A$1001,customers!$B$2:$B$1001,,0)</f>
        <v>Derrek Allpress</v>
      </c>
      <c r="G728" s="2" t="str">
        <f>IF(_xlfn.XLOOKUP(C728,customers!$A$1:$A$1001,customers!$C$1:$C$1001,,0)=0,"",_xlfn.XLOOKUP(C728,customers!$A$1:$A$1001,customers!$C$1:$C$1001,,0))</f>
        <v/>
      </c>
      <c r="H728" s="2" t="str">
        <f>_xlfn.XLOOKUP(C728,customers!$A$1:$A$1001,customers!$G$1:$G$1001,,0)</f>
        <v>United States</v>
      </c>
      <c r="I728" t="str">
        <f>INDEX(products!$A$1:$G$49, MATCH(orders!$D728, products!$A$1:$A$49, 0), MATCH(orders!I$1, products!$A$1:$G$1, 0))</f>
        <v>Lib</v>
      </c>
      <c r="J728" t="str">
        <f>INDEX(products!$A$1:$G$49, MATCH(orders!$D728, products!$A$1:$A$49, 0), MATCH(orders!J$1, products!$A$1:$G$1, 0))</f>
        <v>L</v>
      </c>
      <c r="K728" s="5">
        <f>INDEX(products!$A$1:$G$49, MATCH(orders!$D728, products!$A$1:$A$49, 0), MATCH(orders!K$1, products!$A$1:$G$1, 0))</f>
        <v>2.5</v>
      </c>
      <c r="L728" s="6">
        <f>INDEX(products!$A$1:$G$49, MATCH(orders!$D728, products!$A$1:$A$49, 0), MATCH(orders!L$1, products!$A$1:$G$1, 0))</f>
        <v>36.454999999999998</v>
      </c>
      <c r="M728" s="6">
        <f t="shared" si="34"/>
        <v>145.82</v>
      </c>
      <c r="N728" t="str">
        <f t="shared" si="35"/>
        <v>Liberica</v>
      </c>
      <c r="O728" t="str">
        <f t="shared" si="33"/>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_xlfn.XLOOKUP(C729,customers!$A$2:$A$1001,customers!$B$2:$B$1001,,0)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 MATCH(orders!$D729, products!$A$1:$A$49, 0), MATCH(orders!I$1, products!$A$1:$G$1, 0))</f>
        <v>Rob</v>
      </c>
      <c r="J729" t="str">
        <f>INDEX(products!$A$1:$G$49, MATCH(orders!$D729, products!$A$1:$A$49, 0), MATCH(orders!J$1, products!$A$1:$G$1, 0))</f>
        <v>M</v>
      </c>
      <c r="K729" s="5">
        <f>INDEX(products!$A$1:$G$49, MATCH(orders!$D729, products!$A$1:$A$49, 0), MATCH(orders!K$1, products!$A$1:$G$1, 0))</f>
        <v>0.5</v>
      </c>
      <c r="L729" s="6">
        <f>INDEX(products!$A$1:$G$49, MATCH(orders!$D729, products!$A$1:$A$49, 0), MATCH(orders!L$1, products!$A$1:$G$1, 0))</f>
        <v>5.97</v>
      </c>
      <c r="M729" s="6">
        <f t="shared" si="34"/>
        <v>29.849999999999998</v>
      </c>
      <c r="N729" t="str">
        <f t="shared" si="35"/>
        <v>Robusta</v>
      </c>
      <c r="O729" t="str">
        <f t="shared" si="33"/>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_xlfn.XLOOKUP(C730,customers!$A$2:$A$1001,customers!$B$2:$B$1001,,0)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 MATCH(orders!$D730, products!$A$1:$A$49, 0), MATCH(orders!I$1, products!$A$1:$G$1, 0))</f>
        <v>Exc</v>
      </c>
      <c r="J730" t="str">
        <f>INDEX(products!$A$1:$G$49, MATCH(orders!$D730, products!$A$1:$A$49, 0), MATCH(orders!J$1, products!$A$1:$G$1, 0))</f>
        <v>D</v>
      </c>
      <c r="K730" s="5">
        <f>INDEX(products!$A$1:$G$49, MATCH(orders!$D730, products!$A$1:$A$49, 0), MATCH(orders!K$1, products!$A$1:$G$1, 0))</f>
        <v>0.5</v>
      </c>
      <c r="L730" s="6">
        <f>INDEX(products!$A$1:$G$49, MATCH(orders!$D730, products!$A$1:$A$49, 0), MATCH(orders!L$1, products!$A$1:$G$1, 0))</f>
        <v>7.29</v>
      </c>
      <c r="M730" s="6">
        <f t="shared" si="34"/>
        <v>21.87</v>
      </c>
      <c r="N730" t="str">
        <f t="shared" si="35"/>
        <v>Excelsa</v>
      </c>
      <c r="O730" t="str">
        <f t="shared" si="33"/>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_xlfn.XLOOKUP(C731,customers!$A$2:$A$1001,customers!$B$2:$B$1001,,0)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 MATCH(orders!$D731, products!$A$1:$A$49, 0), MATCH(orders!I$1, products!$A$1:$G$1, 0))</f>
        <v>Lib</v>
      </c>
      <c r="J731" t="str">
        <f>INDEX(products!$A$1:$G$49, MATCH(orders!$D731, products!$A$1:$A$49, 0), MATCH(orders!J$1, products!$A$1:$G$1, 0))</f>
        <v>M</v>
      </c>
      <c r="K731" s="5">
        <f>INDEX(products!$A$1:$G$49, MATCH(orders!$D731, products!$A$1:$A$49, 0), MATCH(orders!K$1, products!$A$1:$G$1, 0))</f>
        <v>0.2</v>
      </c>
      <c r="L731" s="6">
        <f>INDEX(products!$A$1:$G$49, MATCH(orders!$D731, products!$A$1:$A$49, 0), MATCH(orders!L$1, products!$A$1:$G$1, 0))</f>
        <v>4.3650000000000002</v>
      </c>
      <c r="M731" s="6">
        <f t="shared" si="34"/>
        <v>4.3650000000000002</v>
      </c>
      <c r="N731" t="str">
        <f t="shared" si="35"/>
        <v>Liberica</v>
      </c>
      <c r="O731" t="str">
        <f t="shared" si="33"/>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_xlfn.XLOOKUP(C732,customers!$A$2:$A$1001,customers!$B$2:$B$1001,,0)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 MATCH(orders!$D732, products!$A$1:$A$49, 0), MATCH(orders!I$1, products!$A$1:$G$1, 0))</f>
        <v>Lib</v>
      </c>
      <c r="J732" t="str">
        <f>INDEX(products!$A$1:$G$49, MATCH(orders!$D732, products!$A$1:$A$49, 0), MATCH(orders!J$1, products!$A$1:$G$1, 0))</f>
        <v>L</v>
      </c>
      <c r="K732" s="5">
        <f>INDEX(products!$A$1:$G$49, MATCH(orders!$D732, products!$A$1:$A$49, 0), MATCH(orders!K$1, products!$A$1:$G$1, 0))</f>
        <v>2.5</v>
      </c>
      <c r="L732" s="6">
        <f>INDEX(products!$A$1:$G$49, MATCH(orders!$D732, products!$A$1:$A$49, 0), MATCH(orders!L$1, products!$A$1:$G$1, 0))</f>
        <v>36.454999999999998</v>
      </c>
      <c r="M732" s="6">
        <f t="shared" si="34"/>
        <v>36.454999999999998</v>
      </c>
      <c r="N732" t="str">
        <f t="shared" si="35"/>
        <v>Liberica</v>
      </c>
      <c r="O732" t="str">
        <f t="shared" si="33"/>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_xlfn.XLOOKUP(C733,customers!$A$2:$A$1001,customers!$B$2:$B$1001,,0)</f>
        <v>Leta Clarricoates</v>
      </c>
      <c r="G733" s="2" t="str">
        <f>IF(_xlfn.XLOOKUP(C733,customers!$A$1:$A$1001,customers!$C$1:$C$1001,,0)=0,"",_xlfn.XLOOKUP(C733,customers!$A$1:$A$1001,customers!$C$1:$C$1001,,0))</f>
        <v/>
      </c>
      <c r="H733" s="2" t="str">
        <f>_xlfn.XLOOKUP(C733,customers!$A$1:$A$1001,customers!$G$1:$G$1001,,0)</f>
        <v>United States</v>
      </c>
      <c r="I733" t="str">
        <f>INDEX(products!$A$1:$G$49, MATCH(orders!$D733, products!$A$1:$A$49, 0), MATCH(orders!I$1, products!$A$1:$G$1, 0))</f>
        <v>Lib</v>
      </c>
      <c r="J733" t="str">
        <f>INDEX(products!$A$1:$G$49, MATCH(orders!$D733, products!$A$1:$A$49, 0), MATCH(orders!J$1, products!$A$1:$G$1, 0))</f>
        <v>D</v>
      </c>
      <c r="K733" s="5">
        <f>INDEX(products!$A$1:$G$49, MATCH(orders!$D733, products!$A$1:$A$49, 0), MATCH(orders!K$1, products!$A$1:$G$1, 0))</f>
        <v>0.2</v>
      </c>
      <c r="L733" s="6">
        <f>INDEX(products!$A$1:$G$49, MATCH(orders!$D733, products!$A$1:$A$49, 0), MATCH(orders!L$1, products!$A$1:$G$1, 0))</f>
        <v>3.8849999999999998</v>
      </c>
      <c r="M733" s="6">
        <f t="shared" si="34"/>
        <v>15.54</v>
      </c>
      <c r="N733" t="str">
        <f t="shared" si="35"/>
        <v>Liberica</v>
      </c>
      <c r="O733" t="str">
        <f t="shared" si="33"/>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_xlfn.XLOOKUP(C734,customers!$A$2:$A$1001,customers!$B$2:$B$1001,,0)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 MATCH(orders!$D734, products!$A$1:$A$49, 0), MATCH(orders!I$1, products!$A$1:$G$1, 0))</f>
        <v>Exc</v>
      </c>
      <c r="J734" t="str">
        <f>INDEX(products!$A$1:$G$49, MATCH(orders!$D734, products!$A$1:$A$49, 0), MATCH(orders!J$1, products!$A$1:$G$1, 0))</f>
        <v>L</v>
      </c>
      <c r="K734" s="5">
        <f>INDEX(products!$A$1:$G$49, MATCH(orders!$D734, products!$A$1:$A$49, 0), MATCH(orders!K$1, products!$A$1:$G$1, 0))</f>
        <v>0.2</v>
      </c>
      <c r="L734" s="6">
        <f>INDEX(products!$A$1:$G$49, MATCH(orders!$D734, products!$A$1:$A$49, 0), MATCH(orders!L$1, products!$A$1:$G$1, 0))</f>
        <v>4.4550000000000001</v>
      </c>
      <c r="M734" s="6">
        <f t="shared" si="34"/>
        <v>8.91</v>
      </c>
      <c r="N734" t="str">
        <f t="shared" si="35"/>
        <v>Excelsa</v>
      </c>
      <c r="O734" t="str">
        <f t="shared" si="33"/>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_xlfn.XLOOKUP(C735,customers!$A$2:$A$1001,customers!$B$2:$B$1001,,0)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 MATCH(orders!$D735, products!$A$1:$A$49, 0), MATCH(orders!I$1, products!$A$1:$G$1, 0))</f>
        <v>Lib</v>
      </c>
      <c r="J735" t="str">
        <f>INDEX(products!$A$1:$G$49, MATCH(orders!$D735, products!$A$1:$A$49, 0), MATCH(orders!J$1, products!$A$1:$G$1, 0))</f>
        <v>M</v>
      </c>
      <c r="K735" s="5">
        <f>INDEX(products!$A$1:$G$49, MATCH(orders!$D735, products!$A$1:$A$49, 0), MATCH(orders!K$1, products!$A$1:$G$1, 0))</f>
        <v>2.5</v>
      </c>
      <c r="L735" s="6">
        <f>INDEX(products!$A$1:$G$49, MATCH(orders!$D735, products!$A$1:$A$49, 0), MATCH(orders!L$1, products!$A$1:$G$1, 0))</f>
        <v>33.464999999999996</v>
      </c>
      <c r="M735" s="6">
        <f t="shared" si="34"/>
        <v>100.39499999999998</v>
      </c>
      <c r="N735" t="str">
        <f t="shared" si="35"/>
        <v>Liberica</v>
      </c>
      <c r="O735" t="str">
        <f t="shared" si="33"/>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_xlfn.XLOOKUP(C736,customers!$A$2:$A$1001,customers!$B$2:$B$1001,,0)</f>
        <v>Alica Kift</v>
      </c>
      <c r="G736" s="2" t="str">
        <f>IF(_xlfn.XLOOKUP(C736,customers!$A$1:$A$1001,customers!$C$1:$C$1001,,0)=0,"",_xlfn.XLOOKUP(C736,customers!$A$1:$A$1001,customers!$C$1:$C$1001,,0))</f>
        <v/>
      </c>
      <c r="H736" s="2" t="str">
        <f>_xlfn.XLOOKUP(C736,customers!$A$1:$A$1001,customers!$G$1:$G$1001,,0)</f>
        <v>United States</v>
      </c>
      <c r="I736" t="str">
        <f>INDEX(products!$A$1:$G$49, MATCH(orders!$D736, products!$A$1:$A$49, 0), MATCH(orders!I$1, products!$A$1:$G$1, 0))</f>
        <v>Rob</v>
      </c>
      <c r="J736" t="str">
        <f>INDEX(products!$A$1:$G$49, MATCH(orders!$D736, products!$A$1:$A$49, 0), MATCH(orders!J$1, products!$A$1:$G$1, 0))</f>
        <v>D</v>
      </c>
      <c r="K736" s="5">
        <f>INDEX(products!$A$1:$G$49, MATCH(orders!$D736, products!$A$1:$A$49, 0), MATCH(orders!K$1, products!$A$1:$G$1, 0))</f>
        <v>0.2</v>
      </c>
      <c r="L736" s="6">
        <f>INDEX(products!$A$1:$G$49, MATCH(orders!$D736, products!$A$1:$A$49, 0), MATCH(orders!L$1, products!$A$1:$G$1, 0))</f>
        <v>2.6849999999999996</v>
      </c>
      <c r="M736" s="6">
        <f t="shared" si="34"/>
        <v>13.424999999999997</v>
      </c>
      <c r="N736" t="str">
        <f t="shared" si="35"/>
        <v>Robusta</v>
      </c>
      <c r="O736" t="str">
        <f t="shared" si="33"/>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_xlfn.XLOOKUP(C737,customers!$A$2:$A$1001,customers!$B$2:$B$1001,,0)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 MATCH(orders!$D737, products!$A$1:$A$49, 0), MATCH(orders!I$1, products!$A$1:$G$1, 0))</f>
        <v>Exc</v>
      </c>
      <c r="J737" t="str">
        <f>INDEX(products!$A$1:$G$49, MATCH(orders!$D737, products!$A$1:$A$49, 0), MATCH(orders!J$1, products!$A$1:$G$1, 0))</f>
        <v>D</v>
      </c>
      <c r="K737" s="5">
        <f>INDEX(products!$A$1:$G$49, MATCH(orders!$D737, products!$A$1:$A$49, 0), MATCH(orders!K$1, products!$A$1:$G$1, 0))</f>
        <v>0.2</v>
      </c>
      <c r="L737" s="6">
        <f>INDEX(products!$A$1:$G$49, MATCH(orders!$D737, products!$A$1:$A$49, 0), MATCH(orders!L$1, products!$A$1:$G$1, 0))</f>
        <v>3.645</v>
      </c>
      <c r="M737" s="6">
        <f t="shared" si="34"/>
        <v>21.87</v>
      </c>
      <c r="N737" t="str">
        <f t="shared" si="35"/>
        <v>Excelsa</v>
      </c>
      <c r="O737" t="str">
        <f t="shared" si="33"/>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_xlfn.XLOOKUP(C738,customers!$A$2:$A$1001,customers!$B$2:$B$1001,,0)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 MATCH(orders!$D738, products!$A$1:$A$49, 0), MATCH(orders!I$1, products!$A$1:$G$1, 0))</f>
        <v>Lib</v>
      </c>
      <c r="J738" t="str">
        <f>INDEX(products!$A$1:$G$49, MATCH(orders!$D738, products!$A$1:$A$49, 0), MATCH(orders!J$1, products!$A$1:$G$1, 0))</f>
        <v>D</v>
      </c>
      <c r="K738" s="5">
        <f>INDEX(products!$A$1:$G$49, MATCH(orders!$D738, products!$A$1:$A$49, 0), MATCH(orders!K$1, products!$A$1:$G$1, 0))</f>
        <v>1</v>
      </c>
      <c r="L738" s="6">
        <f>INDEX(products!$A$1:$G$49, MATCH(orders!$D738, products!$A$1:$A$49, 0), MATCH(orders!L$1, products!$A$1:$G$1, 0))</f>
        <v>12.95</v>
      </c>
      <c r="M738" s="6">
        <f t="shared" si="34"/>
        <v>25.9</v>
      </c>
      <c r="N738" t="str">
        <f t="shared" si="35"/>
        <v>Liberica</v>
      </c>
      <c r="O738" t="str">
        <f t="shared" si="33"/>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_xlfn.XLOOKUP(C739,customers!$A$2:$A$1001,customers!$B$2:$B$1001,,0)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 MATCH(orders!$D739, products!$A$1:$A$49, 0), MATCH(orders!I$1, products!$A$1:$G$1, 0))</f>
        <v>Ara</v>
      </c>
      <c r="J739" t="str">
        <f>INDEX(products!$A$1:$G$49, MATCH(orders!$D739, products!$A$1:$A$49, 0), MATCH(orders!J$1, products!$A$1:$G$1, 0))</f>
        <v>M</v>
      </c>
      <c r="K739" s="5">
        <f>INDEX(products!$A$1:$G$49, MATCH(orders!$D739, products!$A$1:$A$49, 0), MATCH(orders!K$1, products!$A$1:$G$1, 0))</f>
        <v>1</v>
      </c>
      <c r="L739" s="6">
        <f>INDEX(products!$A$1:$G$49, MATCH(orders!$D739, products!$A$1:$A$49, 0), MATCH(orders!L$1, products!$A$1:$G$1, 0))</f>
        <v>11.25</v>
      </c>
      <c r="M739" s="6">
        <f t="shared" si="34"/>
        <v>56.25</v>
      </c>
      <c r="N739" t="str">
        <f t="shared" si="35"/>
        <v>Arabica</v>
      </c>
      <c r="O739" t="str">
        <f t="shared" si="33"/>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_xlfn.XLOOKUP(C740,customers!$A$2:$A$1001,customers!$B$2:$B$1001,,0)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 MATCH(orders!$D740, products!$A$1:$A$49, 0), MATCH(orders!I$1, products!$A$1:$G$1, 0))</f>
        <v>Rob</v>
      </c>
      <c r="J740" t="str">
        <f>INDEX(products!$A$1:$G$49, MATCH(orders!$D740, products!$A$1:$A$49, 0), MATCH(orders!J$1, products!$A$1:$G$1, 0))</f>
        <v>L</v>
      </c>
      <c r="K740" s="5">
        <f>INDEX(products!$A$1:$G$49, MATCH(orders!$D740, products!$A$1:$A$49, 0), MATCH(orders!K$1, products!$A$1:$G$1, 0))</f>
        <v>0.2</v>
      </c>
      <c r="L740" s="6">
        <f>INDEX(products!$A$1:$G$49, MATCH(orders!$D740, products!$A$1:$A$49, 0), MATCH(orders!L$1, products!$A$1:$G$1, 0))</f>
        <v>3.5849999999999995</v>
      </c>
      <c r="M740" s="6">
        <f t="shared" si="34"/>
        <v>10.754999999999999</v>
      </c>
      <c r="N740" t="str">
        <f t="shared" si="35"/>
        <v>Robusta</v>
      </c>
      <c r="O740" t="str">
        <f t="shared" si="33"/>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_xlfn.XLOOKUP(C741,customers!$A$2:$A$1001,customers!$B$2:$B$1001,,0)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 MATCH(orders!$D741, products!$A$1:$A$49, 0), MATCH(orders!I$1, products!$A$1:$G$1, 0))</f>
        <v>Exc</v>
      </c>
      <c r="J741" t="str">
        <f>INDEX(products!$A$1:$G$49, MATCH(orders!$D741, products!$A$1:$A$49, 0), MATCH(orders!J$1, products!$A$1:$G$1, 0))</f>
        <v>D</v>
      </c>
      <c r="K741" s="5">
        <f>INDEX(products!$A$1:$G$49, MATCH(orders!$D741, products!$A$1:$A$49, 0), MATCH(orders!K$1, products!$A$1:$G$1, 0))</f>
        <v>0.2</v>
      </c>
      <c r="L741" s="6">
        <f>INDEX(products!$A$1:$G$49, MATCH(orders!$D741, products!$A$1:$A$49, 0), MATCH(orders!L$1, products!$A$1:$G$1, 0))</f>
        <v>3.645</v>
      </c>
      <c r="M741" s="6">
        <f t="shared" si="34"/>
        <v>18.225000000000001</v>
      </c>
      <c r="N741" t="str">
        <f t="shared" si="35"/>
        <v>Excelsa</v>
      </c>
      <c r="O741" t="str">
        <f t="shared" si="33"/>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_xlfn.XLOOKUP(C742,customers!$A$2:$A$1001,customers!$B$2:$B$1001,,0)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 MATCH(orders!$D742, products!$A$1:$A$49, 0), MATCH(orders!I$1, products!$A$1:$G$1, 0))</f>
        <v>Rob</v>
      </c>
      <c r="J742" t="str">
        <f>INDEX(products!$A$1:$G$49, MATCH(orders!$D742, products!$A$1:$A$49, 0), MATCH(orders!J$1, products!$A$1:$G$1, 0))</f>
        <v>L</v>
      </c>
      <c r="K742" s="5">
        <f>INDEX(products!$A$1:$G$49, MATCH(orders!$D742, products!$A$1:$A$49, 0), MATCH(orders!K$1, products!$A$1:$G$1, 0))</f>
        <v>0.5</v>
      </c>
      <c r="L742" s="6">
        <f>INDEX(products!$A$1:$G$49, MATCH(orders!$D742, products!$A$1:$A$49, 0), MATCH(orders!L$1, products!$A$1:$G$1, 0))</f>
        <v>7.169999999999999</v>
      </c>
      <c r="M742" s="6">
        <f t="shared" si="34"/>
        <v>28.679999999999996</v>
      </c>
      <c r="N742" t="str">
        <f t="shared" si="35"/>
        <v>Robusta</v>
      </c>
      <c r="O742" t="str">
        <f t="shared" si="33"/>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_xlfn.XLOOKUP(C743,customers!$A$2:$A$1001,customers!$B$2:$B$1001,,0)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 MATCH(orders!$D743, products!$A$1:$A$49, 0), MATCH(orders!I$1, products!$A$1:$G$1, 0))</f>
        <v>Lib</v>
      </c>
      <c r="J743" t="str">
        <f>INDEX(products!$A$1:$G$49, MATCH(orders!$D743, products!$A$1:$A$49, 0), MATCH(orders!J$1, products!$A$1:$G$1, 0))</f>
        <v>M</v>
      </c>
      <c r="K743" s="5">
        <f>INDEX(products!$A$1:$G$49, MATCH(orders!$D743, products!$A$1:$A$49, 0), MATCH(orders!K$1, products!$A$1:$G$1, 0))</f>
        <v>0.2</v>
      </c>
      <c r="L743" s="6">
        <f>INDEX(products!$A$1:$G$49, MATCH(orders!$D743, products!$A$1:$A$49, 0), MATCH(orders!L$1, products!$A$1:$G$1, 0))</f>
        <v>4.3650000000000002</v>
      </c>
      <c r="M743" s="6">
        <f t="shared" si="34"/>
        <v>8.73</v>
      </c>
      <c r="N743" t="str">
        <f t="shared" si="35"/>
        <v>Liberica</v>
      </c>
      <c r="O743" t="str">
        <f t="shared" si="33"/>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_xlfn.XLOOKUP(C744,customers!$A$2:$A$1001,customers!$B$2:$B$1001,,0)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 MATCH(orders!$D744, products!$A$1:$A$49, 0), MATCH(orders!I$1, products!$A$1:$G$1, 0))</f>
        <v>Lib</v>
      </c>
      <c r="J744" t="str">
        <f>INDEX(products!$A$1:$G$49, MATCH(orders!$D744, products!$A$1:$A$49, 0), MATCH(orders!J$1, products!$A$1:$G$1, 0))</f>
        <v>M</v>
      </c>
      <c r="K744" s="5">
        <f>INDEX(products!$A$1:$G$49, MATCH(orders!$D744, products!$A$1:$A$49, 0), MATCH(orders!K$1, products!$A$1:$G$1, 0))</f>
        <v>1</v>
      </c>
      <c r="L744" s="6">
        <f>INDEX(products!$A$1:$G$49, MATCH(orders!$D744, products!$A$1:$A$49, 0), MATCH(orders!L$1, products!$A$1:$G$1, 0))</f>
        <v>14.55</v>
      </c>
      <c r="M744" s="6">
        <f t="shared" si="34"/>
        <v>58.2</v>
      </c>
      <c r="N744" t="str">
        <f t="shared" si="35"/>
        <v>Liberica</v>
      </c>
      <c r="O744" t="str">
        <f t="shared" si="33"/>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_xlfn.XLOOKUP(C745,customers!$A$2:$A$1001,customers!$B$2:$B$1001,,0)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 MATCH(orders!$D745, products!$A$1:$A$49, 0), MATCH(orders!I$1, products!$A$1:$G$1, 0))</f>
        <v>Ara</v>
      </c>
      <c r="J745" t="str">
        <f>INDEX(products!$A$1:$G$49, MATCH(orders!$D745, products!$A$1:$A$49, 0), MATCH(orders!J$1, products!$A$1:$G$1, 0))</f>
        <v>D</v>
      </c>
      <c r="K745" s="5">
        <f>INDEX(products!$A$1:$G$49, MATCH(orders!$D745, products!$A$1:$A$49, 0), MATCH(orders!K$1, products!$A$1:$G$1, 0))</f>
        <v>0.5</v>
      </c>
      <c r="L745" s="6">
        <f>INDEX(products!$A$1:$G$49, MATCH(orders!$D745, products!$A$1:$A$49, 0), MATCH(orders!L$1, products!$A$1:$G$1, 0))</f>
        <v>5.97</v>
      </c>
      <c r="M745" s="6">
        <f t="shared" si="34"/>
        <v>17.91</v>
      </c>
      <c r="N745" t="str">
        <f t="shared" si="35"/>
        <v>Arabica</v>
      </c>
      <c r="O745" t="str">
        <f t="shared" si="33"/>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_xlfn.XLOOKUP(C746,customers!$A$2:$A$1001,customers!$B$2:$B$1001,,0)</f>
        <v>Samuele Klaaassen</v>
      </c>
      <c r="G746" s="2" t="str">
        <f>IF(_xlfn.XLOOKUP(C746,customers!$A$1:$A$1001,customers!$C$1:$C$1001,,0)=0,"",_xlfn.XLOOKUP(C746,customers!$A$1:$A$1001,customers!$C$1:$C$1001,,0))</f>
        <v/>
      </c>
      <c r="H746" s="2" t="str">
        <f>_xlfn.XLOOKUP(C746,customers!$A$1:$A$1001,customers!$G$1:$G$1001,,0)</f>
        <v>United States</v>
      </c>
      <c r="I746" t="str">
        <f>INDEX(products!$A$1:$G$49, MATCH(orders!$D746, products!$A$1:$A$49, 0), MATCH(orders!I$1, products!$A$1:$G$1, 0))</f>
        <v>Rob</v>
      </c>
      <c r="J746" t="str">
        <f>INDEX(products!$A$1:$G$49, MATCH(orders!$D746, products!$A$1:$A$49, 0), MATCH(orders!J$1, products!$A$1:$G$1, 0))</f>
        <v>M</v>
      </c>
      <c r="K746" s="5">
        <f>INDEX(products!$A$1:$G$49, MATCH(orders!$D746, products!$A$1:$A$49, 0), MATCH(orders!K$1, products!$A$1:$G$1, 0))</f>
        <v>0.2</v>
      </c>
      <c r="L746" s="6">
        <f>INDEX(products!$A$1:$G$49, MATCH(orders!$D746, products!$A$1:$A$49, 0), MATCH(orders!L$1, products!$A$1:$G$1, 0))</f>
        <v>2.9849999999999999</v>
      </c>
      <c r="M746" s="6">
        <f t="shared" si="34"/>
        <v>17.91</v>
      </c>
      <c r="N746" t="str">
        <f t="shared" si="35"/>
        <v>Robusta</v>
      </c>
      <c r="O746" t="str">
        <f t="shared" si="33"/>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_xlfn.XLOOKUP(C747,customers!$A$2:$A$1001,customers!$B$2:$B$1001,,0)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 MATCH(orders!$D747, products!$A$1:$A$49, 0), MATCH(orders!I$1, products!$A$1:$G$1, 0))</f>
        <v>Exc</v>
      </c>
      <c r="J747" t="str">
        <f>INDEX(products!$A$1:$G$49, MATCH(orders!$D747, products!$A$1:$A$49, 0), MATCH(orders!J$1, products!$A$1:$G$1, 0))</f>
        <v>D</v>
      </c>
      <c r="K747" s="5">
        <f>INDEX(products!$A$1:$G$49, MATCH(orders!$D747, products!$A$1:$A$49, 0), MATCH(orders!K$1, products!$A$1:$G$1, 0))</f>
        <v>0.5</v>
      </c>
      <c r="L747" s="6">
        <f>INDEX(products!$A$1:$G$49, MATCH(orders!$D747, products!$A$1:$A$49, 0), MATCH(orders!L$1, products!$A$1:$G$1, 0))</f>
        <v>7.29</v>
      </c>
      <c r="M747" s="6">
        <f t="shared" si="34"/>
        <v>14.58</v>
      </c>
      <c r="N747" t="str">
        <f t="shared" si="35"/>
        <v>Excelsa</v>
      </c>
      <c r="O747" t="str">
        <f t="shared" si="33"/>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_xlfn.XLOOKUP(C748,customers!$A$2:$A$1001,customers!$B$2:$B$1001,,0)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 MATCH(orders!$D748, products!$A$1:$A$49, 0), MATCH(orders!I$1, products!$A$1:$G$1, 0))</f>
        <v>Ara</v>
      </c>
      <c r="J748" t="str">
        <f>INDEX(products!$A$1:$G$49, MATCH(orders!$D748, products!$A$1:$A$49, 0), MATCH(orders!J$1, products!$A$1:$G$1, 0))</f>
        <v>M</v>
      </c>
      <c r="K748" s="5">
        <f>INDEX(products!$A$1:$G$49, MATCH(orders!$D748, products!$A$1:$A$49, 0), MATCH(orders!K$1, products!$A$1:$G$1, 0))</f>
        <v>1</v>
      </c>
      <c r="L748" s="6">
        <f>INDEX(products!$A$1:$G$49, MATCH(orders!$D748, products!$A$1:$A$49, 0), MATCH(orders!L$1, products!$A$1:$G$1, 0))</f>
        <v>11.25</v>
      </c>
      <c r="M748" s="6">
        <f t="shared" si="34"/>
        <v>33.75</v>
      </c>
      <c r="N748" t="str">
        <f t="shared" si="35"/>
        <v>Arabica</v>
      </c>
      <c r="O748" t="str">
        <f t="shared" si="33"/>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_xlfn.XLOOKUP(C749,customers!$A$2:$A$1001,customers!$B$2:$B$1001,,0)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 MATCH(orders!$D749, products!$A$1:$A$49, 0), MATCH(orders!I$1, products!$A$1:$G$1, 0))</f>
        <v>Lib</v>
      </c>
      <c r="J749" t="str">
        <f>INDEX(products!$A$1:$G$49, MATCH(orders!$D749, products!$A$1:$A$49, 0), MATCH(orders!J$1, products!$A$1:$G$1, 0))</f>
        <v>M</v>
      </c>
      <c r="K749" s="5">
        <f>INDEX(products!$A$1:$G$49, MATCH(orders!$D749, products!$A$1:$A$49, 0), MATCH(orders!K$1, products!$A$1:$G$1, 0))</f>
        <v>0.5</v>
      </c>
      <c r="L749" s="6">
        <f>INDEX(products!$A$1:$G$49, MATCH(orders!$D749, products!$A$1:$A$49, 0), MATCH(orders!L$1, products!$A$1:$G$1, 0))</f>
        <v>8.73</v>
      </c>
      <c r="M749" s="6">
        <f t="shared" si="34"/>
        <v>34.92</v>
      </c>
      <c r="N749" t="str">
        <f t="shared" si="35"/>
        <v>Liberica</v>
      </c>
      <c r="O749" t="str">
        <f t="shared" si="33"/>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_xlfn.XLOOKUP(C750,customers!$A$2:$A$1001,customers!$B$2:$B$1001,,0)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 MATCH(orders!$D750, products!$A$1:$A$49, 0), MATCH(orders!I$1, products!$A$1:$G$1, 0))</f>
        <v>Exc</v>
      </c>
      <c r="J750" t="str">
        <f>INDEX(products!$A$1:$G$49, MATCH(orders!$D750, products!$A$1:$A$49, 0), MATCH(orders!J$1, products!$A$1:$G$1, 0))</f>
        <v>D</v>
      </c>
      <c r="K750" s="5">
        <f>INDEX(products!$A$1:$G$49, MATCH(orders!$D750, products!$A$1:$A$49, 0), MATCH(orders!K$1, products!$A$1:$G$1, 0))</f>
        <v>0.5</v>
      </c>
      <c r="L750" s="6">
        <f>INDEX(products!$A$1:$G$49, MATCH(orders!$D750, products!$A$1:$A$49, 0), MATCH(orders!L$1, products!$A$1:$G$1, 0))</f>
        <v>7.29</v>
      </c>
      <c r="M750" s="6">
        <f t="shared" si="34"/>
        <v>14.58</v>
      </c>
      <c r="N750" t="str">
        <f t="shared" si="35"/>
        <v>Excelsa</v>
      </c>
      <c r="O750" t="str">
        <f t="shared" si="33"/>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_xlfn.XLOOKUP(C751,customers!$A$2:$A$1001,customers!$B$2:$B$1001,,0)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 MATCH(orders!$D751, products!$A$1:$A$49, 0), MATCH(orders!I$1, products!$A$1:$G$1, 0))</f>
        <v>Rob</v>
      </c>
      <c r="J751" t="str">
        <f>INDEX(products!$A$1:$G$49, MATCH(orders!$D751, products!$A$1:$A$49, 0), MATCH(orders!J$1, products!$A$1:$G$1, 0))</f>
        <v>D</v>
      </c>
      <c r="K751" s="5">
        <f>INDEX(products!$A$1:$G$49, MATCH(orders!$D751, products!$A$1:$A$49, 0), MATCH(orders!K$1, products!$A$1:$G$1, 0))</f>
        <v>0.2</v>
      </c>
      <c r="L751" s="6">
        <f>INDEX(products!$A$1:$G$49, MATCH(orders!$D751, products!$A$1:$A$49, 0), MATCH(orders!L$1, products!$A$1:$G$1, 0))</f>
        <v>2.6849999999999996</v>
      </c>
      <c r="M751" s="6">
        <f t="shared" si="34"/>
        <v>5.3699999999999992</v>
      </c>
      <c r="N751" t="str">
        <f t="shared" si="35"/>
        <v>Robusta</v>
      </c>
      <c r="O751" t="str">
        <f t="shared" si="33"/>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_xlfn.XLOOKUP(C752,customers!$A$2:$A$1001,customers!$B$2:$B$1001,,0)</f>
        <v>Hazel Iacopini</v>
      </c>
      <c r="G752" s="2" t="str">
        <f>IF(_xlfn.XLOOKUP(C752,customers!$A$1:$A$1001,customers!$C$1:$C$1001,,0)=0,"",_xlfn.XLOOKUP(C752,customers!$A$1:$A$1001,customers!$C$1:$C$1001,,0))</f>
        <v/>
      </c>
      <c r="H752" s="2" t="str">
        <f>_xlfn.XLOOKUP(C752,customers!$A$1:$A$1001,customers!$G$1:$G$1001,,0)</f>
        <v>United States</v>
      </c>
      <c r="I752" t="str">
        <f>INDEX(products!$A$1:$G$49, MATCH(orders!$D752, products!$A$1:$A$49, 0), MATCH(orders!I$1, products!$A$1:$G$1, 0))</f>
        <v>Rob</v>
      </c>
      <c r="J752" t="str">
        <f>INDEX(products!$A$1:$G$49, MATCH(orders!$D752, products!$A$1:$A$49, 0), MATCH(orders!J$1, products!$A$1:$G$1, 0))</f>
        <v>M</v>
      </c>
      <c r="K752" s="5">
        <f>INDEX(products!$A$1:$G$49, MATCH(orders!$D752, products!$A$1:$A$49, 0), MATCH(orders!K$1, products!$A$1:$G$1, 0))</f>
        <v>0.5</v>
      </c>
      <c r="L752" s="6">
        <f>INDEX(products!$A$1:$G$49, MATCH(orders!$D752, products!$A$1:$A$49, 0), MATCH(orders!L$1, products!$A$1:$G$1, 0))</f>
        <v>5.97</v>
      </c>
      <c r="M752" s="6">
        <f t="shared" si="34"/>
        <v>5.97</v>
      </c>
      <c r="N752" t="str">
        <f t="shared" si="35"/>
        <v>Robusta</v>
      </c>
      <c r="O752" t="str">
        <f t="shared" si="33"/>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_xlfn.XLOOKUP(C753,customers!$A$2:$A$1001,customers!$B$2:$B$1001,,0)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 MATCH(orders!$D753, products!$A$1:$A$49, 0), MATCH(orders!I$1, products!$A$1:$G$1, 0))</f>
        <v>Lib</v>
      </c>
      <c r="J753" t="str">
        <f>INDEX(products!$A$1:$G$49, MATCH(orders!$D753, products!$A$1:$A$49, 0), MATCH(orders!J$1, products!$A$1:$G$1, 0))</f>
        <v>L</v>
      </c>
      <c r="K753" s="5">
        <f>INDEX(products!$A$1:$G$49, MATCH(orders!$D753, products!$A$1:$A$49, 0), MATCH(orders!K$1, products!$A$1:$G$1, 0))</f>
        <v>0.5</v>
      </c>
      <c r="L753" s="6">
        <f>INDEX(products!$A$1:$G$49, MATCH(orders!$D753, products!$A$1:$A$49, 0), MATCH(orders!L$1, products!$A$1:$G$1, 0))</f>
        <v>9.51</v>
      </c>
      <c r="M753" s="6">
        <f t="shared" si="34"/>
        <v>19.02</v>
      </c>
      <c r="N753" t="str">
        <f t="shared" si="35"/>
        <v>Liberica</v>
      </c>
      <c r="O753" t="str">
        <f t="shared" si="33"/>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_xlfn.XLOOKUP(C754,customers!$A$2:$A$1001,customers!$B$2:$B$1001,,0)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 MATCH(orders!$D754, products!$A$1:$A$49, 0), MATCH(orders!I$1, products!$A$1:$G$1, 0))</f>
        <v>Exc</v>
      </c>
      <c r="J754" t="str">
        <f>INDEX(products!$A$1:$G$49, MATCH(orders!$D754, products!$A$1:$A$49, 0), MATCH(orders!J$1, products!$A$1:$G$1, 0))</f>
        <v>M</v>
      </c>
      <c r="K754" s="5">
        <f>INDEX(products!$A$1:$G$49, MATCH(orders!$D754, products!$A$1:$A$49, 0), MATCH(orders!K$1, products!$A$1:$G$1, 0))</f>
        <v>1</v>
      </c>
      <c r="L754" s="6">
        <f>INDEX(products!$A$1:$G$49, MATCH(orders!$D754, products!$A$1:$A$49, 0), MATCH(orders!L$1, products!$A$1:$G$1, 0))</f>
        <v>13.75</v>
      </c>
      <c r="M754" s="6">
        <f t="shared" si="34"/>
        <v>27.5</v>
      </c>
      <c r="N754" t="str">
        <f t="shared" si="35"/>
        <v>Excelsa</v>
      </c>
      <c r="O754" t="str">
        <f t="shared" si="33"/>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_xlfn.XLOOKUP(C755,customers!$A$2:$A$1001,customers!$B$2:$B$1001,,0)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 MATCH(orders!$D755, products!$A$1:$A$49, 0), MATCH(orders!I$1, products!$A$1:$G$1, 0))</f>
        <v>Ara</v>
      </c>
      <c r="J755" t="str">
        <f>INDEX(products!$A$1:$G$49, MATCH(orders!$D755, products!$A$1:$A$49, 0), MATCH(orders!J$1, products!$A$1:$G$1, 0))</f>
        <v>D</v>
      </c>
      <c r="K755" s="5">
        <f>INDEX(products!$A$1:$G$49, MATCH(orders!$D755, products!$A$1:$A$49, 0), MATCH(orders!K$1, products!$A$1:$G$1, 0))</f>
        <v>0.5</v>
      </c>
      <c r="L755" s="6">
        <f>INDEX(products!$A$1:$G$49, MATCH(orders!$D755, products!$A$1:$A$49, 0), MATCH(orders!L$1, products!$A$1:$G$1, 0))</f>
        <v>5.97</v>
      </c>
      <c r="M755" s="6">
        <f t="shared" si="34"/>
        <v>29.849999999999998</v>
      </c>
      <c r="N755" t="str">
        <f t="shared" si="35"/>
        <v>Arabica</v>
      </c>
      <c r="O755" t="str">
        <f t="shared" si="33"/>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_xlfn.XLOOKUP(C756,customers!$A$2:$A$1001,customers!$B$2:$B$1001,,0)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 MATCH(orders!$D756, products!$A$1:$A$49, 0), MATCH(orders!I$1, products!$A$1:$G$1, 0))</f>
        <v>Ara</v>
      </c>
      <c r="J756" t="str">
        <f>INDEX(products!$A$1:$G$49, MATCH(orders!$D756, products!$A$1:$A$49, 0), MATCH(orders!J$1, products!$A$1:$G$1, 0))</f>
        <v>D</v>
      </c>
      <c r="K756" s="5">
        <f>INDEX(products!$A$1:$G$49, MATCH(orders!$D756, products!$A$1:$A$49, 0), MATCH(orders!K$1, products!$A$1:$G$1, 0))</f>
        <v>0.2</v>
      </c>
      <c r="L756" s="6">
        <f>INDEX(products!$A$1:$G$49, MATCH(orders!$D756, products!$A$1:$A$49, 0), MATCH(orders!L$1, products!$A$1:$G$1, 0))</f>
        <v>2.9849999999999999</v>
      </c>
      <c r="M756" s="6">
        <f t="shared" si="34"/>
        <v>17.91</v>
      </c>
      <c r="N756" t="str">
        <f t="shared" si="35"/>
        <v>Arabica</v>
      </c>
      <c r="O756" t="str">
        <f t="shared" si="33"/>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_xlfn.XLOOKUP(C757,customers!$A$2:$A$1001,customers!$B$2:$B$1001,,0)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 MATCH(orders!$D757, products!$A$1:$A$49, 0), MATCH(orders!I$1, products!$A$1:$G$1, 0))</f>
        <v>Lib</v>
      </c>
      <c r="J757" t="str">
        <f>INDEX(products!$A$1:$G$49, MATCH(orders!$D757, products!$A$1:$A$49, 0), MATCH(orders!J$1, products!$A$1:$G$1, 0))</f>
        <v>L</v>
      </c>
      <c r="K757" s="5">
        <f>INDEX(products!$A$1:$G$49, MATCH(orders!$D757, products!$A$1:$A$49, 0), MATCH(orders!K$1, products!$A$1:$G$1, 0))</f>
        <v>0.2</v>
      </c>
      <c r="L757" s="6">
        <f>INDEX(products!$A$1:$G$49, MATCH(orders!$D757, products!$A$1:$A$49, 0), MATCH(orders!L$1, products!$A$1:$G$1, 0))</f>
        <v>4.7549999999999999</v>
      </c>
      <c r="M757" s="6">
        <f t="shared" si="34"/>
        <v>28.53</v>
      </c>
      <c r="N757" t="str">
        <f t="shared" si="35"/>
        <v>Liberica</v>
      </c>
      <c r="O757" t="str">
        <f t="shared" si="33"/>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_xlfn.XLOOKUP(C758,customers!$A$2:$A$1001,customers!$B$2:$B$1001,,0)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 MATCH(orders!$D758, products!$A$1:$A$49, 0), MATCH(orders!I$1, products!$A$1:$G$1, 0))</f>
        <v>Rob</v>
      </c>
      <c r="J758" t="str">
        <f>INDEX(products!$A$1:$G$49, MATCH(orders!$D758, products!$A$1:$A$49, 0), MATCH(orders!J$1, products!$A$1:$G$1, 0))</f>
        <v>D</v>
      </c>
      <c r="K758" s="5">
        <f>INDEX(products!$A$1:$G$49, MATCH(orders!$D758, products!$A$1:$A$49, 0), MATCH(orders!K$1, products!$A$1:$G$1, 0))</f>
        <v>1</v>
      </c>
      <c r="L758" s="6">
        <f>INDEX(products!$A$1:$G$49, MATCH(orders!$D758, products!$A$1:$A$49, 0), MATCH(orders!L$1, products!$A$1:$G$1, 0))</f>
        <v>8.9499999999999993</v>
      </c>
      <c r="M758" s="6">
        <f t="shared" si="34"/>
        <v>35.799999999999997</v>
      </c>
      <c r="N758" t="str">
        <f t="shared" si="35"/>
        <v>Robusta</v>
      </c>
      <c r="O758" t="str">
        <f t="shared" si="33"/>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_xlfn.XLOOKUP(C759,customers!$A$2:$A$1001,customers!$B$2:$B$1001,,0)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 MATCH(orders!$D759, products!$A$1:$A$49, 0), MATCH(orders!I$1, products!$A$1:$G$1, 0))</f>
        <v>Ara</v>
      </c>
      <c r="J759" t="str">
        <f>INDEX(products!$A$1:$G$49, MATCH(orders!$D759, products!$A$1:$A$49, 0), MATCH(orders!J$1, products!$A$1:$G$1, 0))</f>
        <v>D</v>
      </c>
      <c r="K759" s="5">
        <f>INDEX(products!$A$1:$G$49, MATCH(orders!$D759, products!$A$1:$A$49, 0), MATCH(orders!K$1, products!$A$1:$G$1, 0))</f>
        <v>0.5</v>
      </c>
      <c r="L759" s="6">
        <f>INDEX(products!$A$1:$G$49, MATCH(orders!$D759, products!$A$1:$A$49, 0), MATCH(orders!L$1, products!$A$1:$G$1, 0))</f>
        <v>5.97</v>
      </c>
      <c r="M759" s="6">
        <f t="shared" si="34"/>
        <v>17.91</v>
      </c>
      <c r="N759" t="str">
        <f t="shared" si="35"/>
        <v>Arabica</v>
      </c>
      <c r="O759" t="str">
        <f t="shared" si="33"/>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_xlfn.XLOOKUP(C760,customers!$A$2:$A$1001,customers!$B$2:$B$1001,,0)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 MATCH(orders!$D760, products!$A$1:$A$49, 0), MATCH(orders!I$1, products!$A$1:$G$1, 0))</f>
        <v>Rob</v>
      </c>
      <c r="J760" t="str">
        <f>INDEX(products!$A$1:$G$49, MATCH(orders!$D760, products!$A$1:$A$49, 0), MATCH(orders!J$1, products!$A$1:$G$1, 0))</f>
        <v>D</v>
      </c>
      <c r="K760" s="5">
        <f>INDEX(products!$A$1:$G$49, MATCH(orders!$D760, products!$A$1:$A$49, 0), MATCH(orders!K$1, products!$A$1:$G$1, 0))</f>
        <v>1</v>
      </c>
      <c r="L760" s="6">
        <f>INDEX(products!$A$1:$G$49, MATCH(orders!$D760, products!$A$1:$A$49, 0), MATCH(orders!L$1, products!$A$1:$G$1, 0))</f>
        <v>8.9499999999999993</v>
      </c>
      <c r="M760" s="6">
        <f t="shared" si="34"/>
        <v>8.9499999999999993</v>
      </c>
      <c r="N760" t="str">
        <f t="shared" si="35"/>
        <v>Robusta</v>
      </c>
      <c r="O760" t="str">
        <f t="shared" si="33"/>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_xlfn.XLOOKUP(C761,customers!$A$2:$A$1001,customers!$B$2:$B$1001,,0)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 MATCH(orders!$D761, products!$A$1:$A$49, 0), MATCH(orders!I$1, products!$A$1:$G$1, 0))</f>
        <v>Lib</v>
      </c>
      <c r="J761" t="str">
        <f>INDEX(products!$A$1:$G$49, MATCH(orders!$D761, products!$A$1:$A$49, 0), MATCH(orders!J$1, products!$A$1:$G$1, 0))</f>
        <v>D</v>
      </c>
      <c r="K761" s="5">
        <f>INDEX(products!$A$1:$G$49, MATCH(orders!$D761, products!$A$1:$A$49, 0), MATCH(orders!K$1, products!$A$1:$G$1, 0))</f>
        <v>2.5</v>
      </c>
      <c r="L761" s="6">
        <f>INDEX(products!$A$1:$G$49, MATCH(orders!$D761, products!$A$1:$A$49, 0), MATCH(orders!L$1, products!$A$1:$G$1, 0))</f>
        <v>29.784999999999997</v>
      </c>
      <c r="M761" s="6">
        <f t="shared" si="34"/>
        <v>29.784999999999997</v>
      </c>
      <c r="N761" t="str">
        <f t="shared" si="35"/>
        <v>Liberica</v>
      </c>
      <c r="O761" t="str">
        <f t="shared" si="33"/>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_xlfn.XLOOKUP(C762,customers!$A$2:$A$1001,customers!$B$2:$B$1001,,0)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 MATCH(orders!$D762, products!$A$1:$A$49, 0), MATCH(orders!I$1, products!$A$1:$G$1, 0))</f>
        <v>Exc</v>
      </c>
      <c r="J762" t="str">
        <f>INDEX(products!$A$1:$G$49, MATCH(orders!$D762, products!$A$1:$A$49, 0), MATCH(orders!J$1, products!$A$1:$G$1, 0))</f>
        <v>L</v>
      </c>
      <c r="K762" s="5">
        <f>INDEX(products!$A$1:$G$49, MATCH(orders!$D762, products!$A$1:$A$49, 0), MATCH(orders!K$1, products!$A$1:$G$1, 0))</f>
        <v>0.5</v>
      </c>
      <c r="L762" s="6">
        <f>INDEX(products!$A$1:$G$49, MATCH(orders!$D762, products!$A$1:$A$49, 0), MATCH(orders!L$1, products!$A$1:$G$1, 0))</f>
        <v>8.91</v>
      </c>
      <c r="M762" s="6">
        <f t="shared" si="34"/>
        <v>44.55</v>
      </c>
      <c r="N762" t="str">
        <f t="shared" si="35"/>
        <v>Excelsa</v>
      </c>
      <c r="O762" t="str">
        <f t="shared" si="33"/>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_xlfn.XLOOKUP(C763,customers!$A$2:$A$1001,customers!$B$2:$B$1001,,0)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 MATCH(orders!$D763, products!$A$1:$A$49, 0), MATCH(orders!I$1, products!$A$1:$G$1, 0))</f>
        <v>Exc</v>
      </c>
      <c r="J763" t="str">
        <f>INDEX(products!$A$1:$G$49, MATCH(orders!$D763, products!$A$1:$A$49, 0), MATCH(orders!J$1, products!$A$1:$G$1, 0))</f>
        <v>L</v>
      </c>
      <c r="K763" s="5">
        <f>INDEX(products!$A$1:$G$49, MATCH(orders!$D763, products!$A$1:$A$49, 0), MATCH(orders!K$1, products!$A$1:$G$1, 0))</f>
        <v>1</v>
      </c>
      <c r="L763" s="6">
        <f>INDEX(products!$A$1:$G$49, MATCH(orders!$D763, products!$A$1:$A$49, 0), MATCH(orders!L$1, products!$A$1:$G$1, 0))</f>
        <v>14.85</v>
      </c>
      <c r="M763" s="6">
        <f t="shared" si="34"/>
        <v>89.1</v>
      </c>
      <c r="N763" t="str">
        <f t="shared" si="35"/>
        <v>Excelsa</v>
      </c>
      <c r="O763" t="str">
        <f t="shared" si="33"/>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_xlfn.XLOOKUP(C764,customers!$A$2:$A$1001,customers!$B$2:$B$1001,,0)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 MATCH(orders!$D764, products!$A$1:$A$49, 0), MATCH(orders!I$1, products!$A$1:$G$1, 0))</f>
        <v>Lib</v>
      </c>
      <c r="J764" t="str">
        <f>INDEX(products!$A$1:$G$49, MATCH(orders!$D764, products!$A$1:$A$49, 0), MATCH(orders!J$1, products!$A$1:$G$1, 0))</f>
        <v>M</v>
      </c>
      <c r="K764" s="5">
        <f>INDEX(products!$A$1:$G$49, MATCH(orders!$D764, products!$A$1:$A$49, 0), MATCH(orders!K$1, products!$A$1:$G$1, 0))</f>
        <v>0.5</v>
      </c>
      <c r="L764" s="6">
        <f>INDEX(products!$A$1:$G$49, MATCH(orders!$D764, products!$A$1:$A$49, 0), MATCH(orders!L$1, products!$A$1:$G$1, 0))</f>
        <v>8.73</v>
      </c>
      <c r="M764" s="6">
        <f t="shared" si="34"/>
        <v>43.650000000000006</v>
      </c>
      <c r="N764" t="str">
        <f t="shared" si="35"/>
        <v>Liberica</v>
      </c>
      <c r="O764" t="str">
        <f t="shared" si="33"/>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_xlfn.XLOOKUP(C765,customers!$A$2:$A$1001,customers!$B$2:$B$1001,,0)</f>
        <v>Sarajane Potter</v>
      </c>
      <c r="G765" s="2" t="str">
        <f>IF(_xlfn.XLOOKUP(C765,customers!$A$1:$A$1001,customers!$C$1:$C$1001,,0)=0,"",_xlfn.XLOOKUP(C765,customers!$A$1:$A$1001,customers!$C$1:$C$1001,,0))</f>
        <v/>
      </c>
      <c r="H765" s="2" t="str">
        <f>_xlfn.XLOOKUP(C765,customers!$A$1:$A$1001,customers!$G$1:$G$1001,,0)</f>
        <v>United States</v>
      </c>
      <c r="I765" t="str">
        <f>INDEX(products!$A$1:$G$49, MATCH(orders!$D765, products!$A$1:$A$49, 0), MATCH(orders!I$1, products!$A$1:$G$1, 0))</f>
        <v>Ara</v>
      </c>
      <c r="J765" t="str">
        <f>INDEX(products!$A$1:$G$49, MATCH(orders!$D765, products!$A$1:$A$49, 0), MATCH(orders!J$1, products!$A$1:$G$1, 0))</f>
        <v>L</v>
      </c>
      <c r="K765" s="5">
        <f>INDEX(products!$A$1:$G$49, MATCH(orders!$D765, products!$A$1:$A$49, 0), MATCH(orders!K$1, products!$A$1:$G$1, 0))</f>
        <v>0.5</v>
      </c>
      <c r="L765" s="6">
        <f>INDEX(products!$A$1:$G$49, MATCH(orders!$D765, products!$A$1:$A$49, 0), MATCH(orders!L$1, products!$A$1:$G$1, 0))</f>
        <v>7.77</v>
      </c>
      <c r="M765" s="6">
        <f t="shared" si="34"/>
        <v>23.31</v>
      </c>
      <c r="N765" t="str">
        <f t="shared" si="35"/>
        <v>Arabica</v>
      </c>
      <c r="O765" t="str">
        <f t="shared" si="33"/>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_xlfn.XLOOKUP(C766,customers!$A$2:$A$1001,customers!$B$2:$B$1001,,0)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 MATCH(orders!$D766, products!$A$1:$A$49, 0), MATCH(orders!I$1, products!$A$1:$G$1, 0))</f>
        <v>Ara</v>
      </c>
      <c r="J766" t="str">
        <f>INDEX(products!$A$1:$G$49, MATCH(orders!$D766, products!$A$1:$A$49, 0), MATCH(orders!J$1, products!$A$1:$G$1, 0))</f>
        <v>L</v>
      </c>
      <c r="K766" s="5">
        <f>INDEX(products!$A$1:$G$49, MATCH(orders!$D766, products!$A$1:$A$49, 0), MATCH(orders!K$1, products!$A$1:$G$1, 0))</f>
        <v>2.5</v>
      </c>
      <c r="L766" s="6">
        <f>INDEX(products!$A$1:$G$49, MATCH(orders!$D766, products!$A$1:$A$49, 0), MATCH(orders!L$1, products!$A$1:$G$1, 0))</f>
        <v>29.784999999999997</v>
      </c>
      <c r="M766" s="6">
        <f t="shared" si="34"/>
        <v>178.70999999999998</v>
      </c>
      <c r="N766" t="str">
        <f t="shared" si="35"/>
        <v>Arabica</v>
      </c>
      <c r="O766" t="str">
        <f t="shared" si="33"/>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_xlfn.XLOOKUP(C767,customers!$A$2:$A$1001,customers!$B$2:$B$1001,,0)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 MATCH(orders!$D767, products!$A$1:$A$49, 0), MATCH(orders!I$1, products!$A$1:$G$1, 0))</f>
        <v>Rob</v>
      </c>
      <c r="J767" t="str">
        <f>INDEX(products!$A$1:$G$49, MATCH(orders!$D767, products!$A$1:$A$49, 0), MATCH(orders!J$1, products!$A$1:$G$1, 0))</f>
        <v>M</v>
      </c>
      <c r="K767" s="5">
        <f>INDEX(products!$A$1:$G$49, MATCH(orders!$D767, products!$A$1:$A$49, 0), MATCH(orders!K$1, products!$A$1:$G$1, 0))</f>
        <v>1</v>
      </c>
      <c r="L767" s="6">
        <f>INDEX(products!$A$1:$G$49, MATCH(orders!$D767, products!$A$1:$A$49, 0), MATCH(orders!L$1, products!$A$1:$G$1, 0))</f>
        <v>9.9499999999999993</v>
      </c>
      <c r="M767" s="6">
        <f t="shared" si="34"/>
        <v>59.699999999999996</v>
      </c>
      <c r="N767" t="str">
        <f t="shared" si="35"/>
        <v>Robusta</v>
      </c>
      <c r="O767" t="str">
        <f t="shared" si="33"/>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_xlfn.XLOOKUP(C768,customers!$A$2:$A$1001,customers!$B$2:$B$1001,,0)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 MATCH(orders!$D768, products!$A$1:$A$49, 0), MATCH(orders!I$1, products!$A$1:$G$1, 0))</f>
        <v>Ara</v>
      </c>
      <c r="J768" t="str">
        <f>INDEX(products!$A$1:$G$49, MATCH(orders!$D768, products!$A$1:$A$49, 0), MATCH(orders!J$1, products!$A$1:$G$1, 0))</f>
        <v>L</v>
      </c>
      <c r="K768" s="5">
        <f>INDEX(products!$A$1:$G$49, MATCH(orders!$D768, products!$A$1:$A$49, 0), MATCH(orders!K$1, products!$A$1:$G$1, 0))</f>
        <v>0.5</v>
      </c>
      <c r="L768" s="6">
        <f>INDEX(products!$A$1:$G$49, MATCH(orders!$D768, products!$A$1:$A$49, 0), MATCH(orders!L$1, products!$A$1:$G$1, 0))</f>
        <v>7.77</v>
      </c>
      <c r="M768" s="6">
        <f t="shared" si="34"/>
        <v>15.54</v>
      </c>
      <c r="N768" t="str">
        <f t="shared" si="35"/>
        <v>Arabica</v>
      </c>
      <c r="O768" t="str">
        <f t="shared" si="33"/>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_xlfn.XLOOKUP(C769,customers!$A$2:$A$1001,customers!$B$2:$B$1001,,0)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 MATCH(orders!$D769, products!$A$1:$A$49, 0), MATCH(orders!I$1, products!$A$1:$G$1, 0))</f>
        <v>Ara</v>
      </c>
      <c r="J769" t="str">
        <f>INDEX(products!$A$1:$G$49, MATCH(orders!$D769, products!$A$1:$A$49, 0), MATCH(orders!J$1, products!$A$1:$G$1, 0))</f>
        <v>L</v>
      </c>
      <c r="K769" s="5">
        <f>INDEX(products!$A$1:$G$49, MATCH(orders!$D769, products!$A$1:$A$49, 0), MATCH(orders!K$1, products!$A$1:$G$1, 0))</f>
        <v>2.5</v>
      </c>
      <c r="L769" s="6">
        <f>INDEX(products!$A$1:$G$49, MATCH(orders!$D769, products!$A$1:$A$49, 0), MATCH(orders!L$1, products!$A$1:$G$1, 0))</f>
        <v>29.784999999999997</v>
      </c>
      <c r="M769" s="6">
        <f t="shared" si="34"/>
        <v>89.35499999999999</v>
      </c>
      <c r="N769" t="str">
        <f t="shared" si="35"/>
        <v>Arabica</v>
      </c>
      <c r="O769" t="str">
        <f t="shared" si="33"/>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_xlfn.XLOOKUP(C770,customers!$A$2:$A$1001,customers!$B$2:$B$1001,,0)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 MATCH(orders!$D770, products!$A$1:$A$49, 0), MATCH(orders!I$1, products!$A$1:$G$1, 0))</f>
        <v>Rob</v>
      </c>
      <c r="J770" t="str">
        <f>INDEX(products!$A$1:$G$49, MATCH(orders!$D770, products!$A$1:$A$49, 0), MATCH(orders!J$1, products!$A$1:$G$1, 0))</f>
        <v>L</v>
      </c>
      <c r="K770" s="5">
        <f>INDEX(products!$A$1:$G$49, MATCH(orders!$D770, products!$A$1:$A$49, 0), MATCH(orders!K$1, products!$A$1:$G$1, 0))</f>
        <v>1</v>
      </c>
      <c r="L770" s="6">
        <f>INDEX(products!$A$1:$G$49, MATCH(orders!$D770, products!$A$1:$A$49, 0), MATCH(orders!L$1, products!$A$1:$G$1, 0))</f>
        <v>11.95</v>
      </c>
      <c r="M770" s="6">
        <f t="shared" si="34"/>
        <v>23.9</v>
      </c>
      <c r="N770" t="str">
        <f t="shared" si="35"/>
        <v>Robusta</v>
      </c>
      <c r="O770" t="str">
        <f t="shared" ref="O770:O833" si="36">IF(J770="M","Medium",IF(J770="l","Light",IF(J770="d","Dark","")))</f>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_xlfn.XLOOKUP(C771,customers!$A$2:$A$1001,customers!$B$2:$B$1001,,0)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 MATCH(orders!$D771, products!$A$1:$A$49, 0), MATCH(orders!I$1, products!$A$1:$G$1, 0))</f>
        <v>Rob</v>
      </c>
      <c r="J771" t="str">
        <f>INDEX(products!$A$1:$G$49, MATCH(orders!$D771, products!$A$1:$A$49, 0), MATCH(orders!J$1, products!$A$1:$G$1, 0))</f>
        <v>M</v>
      </c>
      <c r="K771" s="5">
        <f>INDEX(products!$A$1:$G$49, MATCH(orders!$D771, products!$A$1:$A$49, 0), MATCH(orders!K$1, products!$A$1:$G$1, 0))</f>
        <v>2.5</v>
      </c>
      <c r="L771" s="6">
        <f>INDEX(products!$A$1:$G$49, MATCH(orders!$D771, products!$A$1:$A$49, 0), MATCH(orders!L$1, products!$A$1:$G$1, 0))</f>
        <v>22.884999999999998</v>
      </c>
      <c r="M771" s="6">
        <f t="shared" ref="M771:M834" si="37">L771*E771</f>
        <v>137.31</v>
      </c>
      <c r="N771" t="str">
        <f t="shared" ref="N771:N834" si="38">IF(I771="Rob","Robusta",IF(I771="Exc","Excelsa",IF(I771="Ara","Arabica",IF(I771="lib","Liberica",""))))</f>
        <v>Robusta</v>
      </c>
      <c r="O771" t="str">
        <f t="shared" si="36"/>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_xlfn.XLOOKUP(C772,customers!$A$2:$A$1001,customers!$B$2:$B$1001,,0)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 MATCH(orders!$D772, products!$A$1:$A$49, 0), MATCH(orders!I$1, products!$A$1:$G$1, 0))</f>
        <v>Ara</v>
      </c>
      <c r="J772" t="str">
        <f>INDEX(products!$A$1:$G$49, MATCH(orders!$D772, products!$A$1:$A$49, 0), MATCH(orders!J$1, products!$A$1:$G$1, 0))</f>
        <v>D</v>
      </c>
      <c r="K772" s="5">
        <f>INDEX(products!$A$1:$G$49, MATCH(orders!$D772, products!$A$1:$A$49, 0), MATCH(orders!K$1, products!$A$1:$G$1, 0))</f>
        <v>1</v>
      </c>
      <c r="L772" s="6">
        <f>INDEX(products!$A$1:$G$49, MATCH(orders!$D772, products!$A$1:$A$49, 0), MATCH(orders!L$1, products!$A$1:$G$1, 0))</f>
        <v>9.9499999999999993</v>
      </c>
      <c r="M772" s="6">
        <f t="shared" si="37"/>
        <v>9.9499999999999993</v>
      </c>
      <c r="N772" t="str">
        <f t="shared" si="38"/>
        <v>Arabica</v>
      </c>
      <c r="O772" t="str">
        <f t="shared" si="36"/>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_xlfn.XLOOKUP(C773,customers!$A$2:$A$1001,customers!$B$2:$B$1001,,0)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 MATCH(orders!$D773, products!$A$1:$A$49, 0), MATCH(orders!I$1, products!$A$1:$G$1, 0))</f>
        <v>Rob</v>
      </c>
      <c r="J773" t="str">
        <f>INDEX(products!$A$1:$G$49, MATCH(orders!$D773, products!$A$1:$A$49, 0), MATCH(orders!J$1, products!$A$1:$G$1, 0))</f>
        <v>L</v>
      </c>
      <c r="K773" s="5">
        <f>INDEX(products!$A$1:$G$49, MATCH(orders!$D773, products!$A$1:$A$49, 0), MATCH(orders!K$1, products!$A$1:$G$1, 0))</f>
        <v>0.5</v>
      </c>
      <c r="L773" s="6">
        <f>INDEX(products!$A$1:$G$49, MATCH(orders!$D773, products!$A$1:$A$49, 0), MATCH(orders!L$1, products!$A$1:$G$1, 0))</f>
        <v>7.169999999999999</v>
      </c>
      <c r="M773" s="6">
        <f t="shared" si="37"/>
        <v>21.509999999999998</v>
      </c>
      <c r="N773" t="str">
        <f t="shared" si="38"/>
        <v>Robusta</v>
      </c>
      <c r="O773" t="str">
        <f t="shared" si="36"/>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_xlfn.XLOOKUP(C774,customers!$A$2:$A$1001,customers!$B$2:$B$1001,,0)</f>
        <v>Mellisa Mebes</v>
      </c>
      <c r="G774" s="2" t="str">
        <f>IF(_xlfn.XLOOKUP(C774,customers!$A$1:$A$1001,customers!$C$1:$C$1001,,0)=0,"",_xlfn.XLOOKUP(C774,customers!$A$1:$A$1001,customers!$C$1:$C$1001,,0))</f>
        <v/>
      </c>
      <c r="H774" s="2" t="str">
        <f>_xlfn.XLOOKUP(C774,customers!$A$1:$A$1001,customers!$G$1:$G$1001,,0)</f>
        <v>United States</v>
      </c>
      <c r="I774" t="str">
        <f>INDEX(products!$A$1:$G$49, MATCH(orders!$D774, products!$A$1:$A$49, 0), MATCH(orders!I$1, products!$A$1:$G$1, 0))</f>
        <v>Exc</v>
      </c>
      <c r="J774" t="str">
        <f>INDEX(products!$A$1:$G$49, MATCH(orders!$D774, products!$A$1:$A$49, 0), MATCH(orders!J$1, products!$A$1:$G$1, 0))</f>
        <v>M</v>
      </c>
      <c r="K774" s="5">
        <f>INDEX(products!$A$1:$G$49, MATCH(orders!$D774, products!$A$1:$A$49, 0), MATCH(orders!K$1, products!$A$1:$G$1, 0))</f>
        <v>1</v>
      </c>
      <c r="L774" s="6">
        <f>INDEX(products!$A$1:$G$49, MATCH(orders!$D774, products!$A$1:$A$49, 0), MATCH(orders!L$1, products!$A$1:$G$1, 0))</f>
        <v>13.75</v>
      </c>
      <c r="M774" s="6">
        <f t="shared" si="37"/>
        <v>82.5</v>
      </c>
      <c r="N774" t="str">
        <f t="shared" si="38"/>
        <v>Excelsa</v>
      </c>
      <c r="O774" t="str">
        <f t="shared" si="36"/>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_xlfn.XLOOKUP(C775,customers!$A$2:$A$1001,customers!$B$2:$B$1001,,0)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 MATCH(orders!$D775, products!$A$1:$A$49, 0), MATCH(orders!I$1, products!$A$1:$G$1, 0))</f>
        <v>Lib</v>
      </c>
      <c r="J775" t="str">
        <f>INDEX(products!$A$1:$G$49, MATCH(orders!$D775, products!$A$1:$A$49, 0), MATCH(orders!J$1, products!$A$1:$G$1, 0))</f>
        <v>M</v>
      </c>
      <c r="K775" s="5">
        <f>INDEX(products!$A$1:$G$49, MATCH(orders!$D775, products!$A$1:$A$49, 0), MATCH(orders!K$1, products!$A$1:$G$1, 0))</f>
        <v>0.2</v>
      </c>
      <c r="L775" s="6">
        <f>INDEX(products!$A$1:$G$49, MATCH(orders!$D775, products!$A$1:$A$49, 0), MATCH(orders!L$1, products!$A$1:$G$1, 0))</f>
        <v>4.3650000000000002</v>
      </c>
      <c r="M775" s="6">
        <f t="shared" si="37"/>
        <v>8.73</v>
      </c>
      <c r="N775" t="str">
        <f t="shared" si="38"/>
        <v>Liberica</v>
      </c>
      <c r="O775" t="str">
        <f t="shared" si="36"/>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_xlfn.XLOOKUP(C776,customers!$A$2:$A$1001,customers!$B$2:$B$1001,,0)</f>
        <v>Dorette Hinemoor</v>
      </c>
      <c r="G776" s="2" t="str">
        <f>IF(_xlfn.XLOOKUP(C776,customers!$A$1:$A$1001,customers!$C$1:$C$1001,,0)=0,"",_xlfn.XLOOKUP(C776,customers!$A$1:$A$1001,customers!$C$1:$C$1001,,0))</f>
        <v/>
      </c>
      <c r="H776" s="2" t="str">
        <f>_xlfn.XLOOKUP(C776,customers!$A$1:$A$1001,customers!$G$1:$G$1001,,0)</f>
        <v>United States</v>
      </c>
      <c r="I776" t="str">
        <f>INDEX(products!$A$1:$G$49, MATCH(orders!$D776, products!$A$1:$A$49, 0), MATCH(orders!I$1, products!$A$1:$G$1, 0))</f>
        <v>Rob</v>
      </c>
      <c r="J776" t="str">
        <f>INDEX(products!$A$1:$G$49, MATCH(orders!$D776, products!$A$1:$A$49, 0), MATCH(orders!J$1, products!$A$1:$G$1, 0))</f>
        <v>M</v>
      </c>
      <c r="K776" s="5">
        <f>INDEX(products!$A$1:$G$49, MATCH(orders!$D776, products!$A$1:$A$49, 0), MATCH(orders!K$1, products!$A$1:$G$1, 0))</f>
        <v>1</v>
      </c>
      <c r="L776" s="6">
        <f>INDEX(products!$A$1:$G$49, MATCH(orders!$D776, products!$A$1:$A$49, 0), MATCH(orders!L$1, products!$A$1:$G$1, 0))</f>
        <v>9.9499999999999993</v>
      </c>
      <c r="M776" s="6">
        <f t="shared" si="37"/>
        <v>19.899999999999999</v>
      </c>
      <c r="N776" t="str">
        <f t="shared" si="38"/>
        <v>Robusta</v>
      </c>
      <c r="O776" t="str">
        <f t="shared" si="36"/>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_xlfn.XLOOKUP(C777,customers!$A$2:$A$1001,customers!$B$2:$B$1001,,0)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 MATCH(orders!$D777, products!$A$1:$A$49, 0), MATCH(orders!I$1, products!$A$1:$G$1, 0))</f>
        <v>Exc</v>
      </c>
      <c r="J777" t="str">
        <f>INDEX(products!$A$1:$G$49, MATCH(orders!$D777, products!$A$1:$A$49, 0), MATCH(orders!J$1, products!$A$1:$G$1, 0))</f>
        <v>L</v>
      </c>
      <c r="K777" s="5">
        <f>INDEX(products!$A$1:$G$49, MATCH(orders!$D777, products!$A$1:$A$49, 0), MATCH(orders!K$1, products!$A$1:$G$1, 0))</f>
        <v>0.5</v>
      </c>
      <c r="L777" s="6">
        <f>INDEX(products!$A$1:$G$49, MATCH(orders!$D777, products!$A$1:$A$49, 0), MATCH(orders!L$1, products!$A$1:$G$1, 0))</f>
        <v>8.91</v>
      </c>
      <c r="M777" s="6">
        <f t="shared" si="37"/>
        <v>17.82</v>
      </c>
      <c r="N777" t="str">
        <f t="shared" si="38"/>
        <v>Excelsa</v>
      </c>
      <c r="O777" t="str">
        <f t="shared" si="36"/>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_xlfn.XLOOKUP(C778,customers!$A$2:$A$1001,customers!$B$2:$B$1001,,0)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 MATCH(orders!$D778, products!$A$1:$A$49, 0), MATCH(orders!I$1, products!$A$1:$G$1, 0))</f>
        <v>Ara</v>
      </c>
      <c r="J778" t="str">
        <f>INDEX(products!$A$1:$G$49, MATCH(orders!$D778, products!$A$1:$A$49, 0), MATCH(orders!J$1, products!$A$1:$G$1, 0))</f>
        <v>M</v>
      </c>
      <c r="K778" s="5">
        <f>INDEX(products!$A$1:$G$49, MATCH(orders!$D778, products!$A$1:$A$49, 0), MATCH(orders!K$1, products!$A$1:$G$1, 0))</f>
        <v>0.5</v>
      </c>
      <c r="L778" s="6">
        <f>INDEX(products!$A$1:$G$49, MATCH(orders!$D778, products!$A$1:$A$49, 0), MATCH(orders!L$1, products!$A$1:$G$1, 0))</f>
        <v>6.75</v>
      </c>
      <c r="M778" s="6">
        <f t="shared" si="37"/>
        <v>20.25</v>
      </c>
      <c r="N778" t="str">
        <f t="shared" si="38"/>
        <v>Arabica</v>
      </c>
      <c r="O778" t="str">
        <f t="shared" si="36"/>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_xlfn.XLOOKUP(C779,customers!$A$2:$A$1001,customers!$B$2:$B$1001,,0)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 MATCH(orders!$D779, products!$A$1:$A$49, 0), MATCH(orders!I$1, products!$A$1:$G$1, 0))</f>
        <v>Ara</v>
      </c>
      <c r="J779" t="str">
        <f>INDEX(products!$A$1:$G$49, MATCH(orders!$D779, products!$A$1:$A$49, 0), MATCH(orders!J$1, products!$A$1:$G$1, 0))</f>
        <v>L</v>
      </c>
      <c r="K779" s="5">
        <f>INDEX(products!$A$1:$G$49, MATCH(orders!$D779, products!$A$1:$A$49, 0), MATCH(orders!K$1, products!$A$1:$G$1, 0))</f>
        <v>2.5</v>
      </c>
      <c r="L779" s="6">
        <f>INDEX(products!$A$1:$G$49, MATCH(orders!$D779, products!$A$1:$A$49, 0), MATCH(orders!L$1, products!$A$1:$G$1, 0))</f>
        <v>29.784999999999997</v>
      </c>
      <c r="M779" s="6">
        <f t="shared" si="37"/>
        <v>59.569999999999993</v>
      </c>
      <c r="N779" t="str">
        <f t="shared" si="38"/>
        <v>Arabica</v>
      </c>
      <c r="O779" t="str">
        <f t="shared" si="36"/>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_xlfn.XLOOKUP(C780,customers!$A$2:$A$1001,customers!$B$2:$B$1001,,0)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 MATCH(orders!$D780, products!$A$1:$A$49, 0), MATCH(orders!I$1, products!$A$1:$G$1, 0))</f>
        <v>Lib</v>
      </c>
      <c r="J780" t="str">
        <f>INDEX(products!$A$1:$G$49, MATCH(orders!$D780, products!$A$1:$A$49, 0), MATCH(orders!J$1, products!$A$1:$G$1, 0))</f>
        <v>L</v>
      </c>
      <c r="K780" s="5">
        <f>INDEX(products!$A$1:$G$49, MATCH(orders!$D780, products!$A$1:$A$49, 0), MATCH(orders!K$1, products!$A$1:$G$1, 0))</f>
        <v>0.5</v>
      </c>
      <c r="L780" s="6">
        <f>INDEX(products!$A$1:$G$49, MATCH(orders!$D780, products!$A$1:$A$49, 0), MATCH(orders!L$1, products!$A$1:$G$1, 0))</f>
        <v>9.51</v>
      </c>
      <c r="M780" s="6">
        <f t="shared" si="37"/>
        <v>19.02</v>
      </c>
      <c r="N780" t="str">
        <f t="shared" si="38"/>
        <v>Liberica</v>
      </c>
      <c r="O780" t="str">
        <f t="shared" si="36"/>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_xlfn.XLOOKUP(C781,customers!$A$2:$A$1001,customers!$B$2:$B$1001,,0)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 MATCH(orders!$D781, products!$A$1:$A$49, 0), MATCH(orders!I$1, products!$A$1:$G$1, 0))</f>
        <v>Lib</v>
      </c>
      <c r="J781" t="str">
        <f>INDEX(products!$A$1:$G$49, MATCH(orders!$D781, products!$A$1:$A$49, 0), MATCH(orders!J$1, products!$A$1:$G$1, 0))</f>
        <v>D</v>
      </c>
      <c r="K781" s="5">
        <f>INDEX(products!$A$1:$G$49, MATCH(orders!$D781, products!$A$1:$A$49, 0), MATCH(orders!K$1, products!$A$1:$G$1, 0))</f>
        <v>1</v>
      </c>
      <c r="L781" s="6">
        <f>INDEX(products!$A$1:$G$49, MATCH(orders!$D781, products!$A$1:$A$49, 0), MATCH(orders!L$1, products!$A$1:$G$1, 0))</f>
        <v>12.95</v>
      </c>
      <c r="M781" s="6">
        <f t="shared" si="37"/>
        <v>77.699999999999989</v>
      </c>
      <c r="N781" t="str">
        <f t="shared" si="38"/>
        <v>Liberica</v>
      </c>
      <c r="O781" t="str">
        <f t="shared" si="36"/>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_xlfn.XLOOKUP(C782,customers!$A$2:$A$1001,customers!$B$2:$B$1001,,0)</f>
        <v>Verne Dunkerley</v>
      </c>
      <c r="G782" s="2" t="str">
        <f>IF(_xlfn.XLOOKUP(C782,customers!$A$1:$A$1001,customers!$C$1:$C$1001,,0)=0,"",_xlfn.XLOOKUP(C782,customers!$A$1:$A$1001,customers!$C$1:$C$1001,,0))</f>
        <v/>
      </c>
      <c r="H782" s="2" t="str">
        <f>_xlfn.XLOOKUP(C782,customers!$A$1:$A$1001,customers!$G$1:$G$1001,,0)</f>
        <v>United States</v>
      </c>
      <c r="I782" t="str">
        <f>INDEX(products!$A$1:$G$49, MATCH(orders!$D782, products!$A$1:$A$49, 0), MATCH(orders!I$1, products!$A$1:$G$1, 0))</f>
        <v>Exc</v>
      </c>
      <c r="J782" t="str">
        <f>INDEX(products!$A$1:$G$49, MATCH(orders!$D782, products!$A$1:$A$49, 0), MATCH(orders!J$1, products!$A$1:$G$1, 0))</f>
        <v>M</v>
      </c>
      <c r="K782" s="5">
        <f>INDEX(products!$A$1:$G$49, MATCH(orders!$D782, products!$A$1:$A$49, 0), MATCH(orders!K$1, products!$A$1:$G$1, 0))</f>
        <v>1</v>
      </c>
      <c r="L782" s="6">
        <f>INDEX(products!$A$1:$G$49, MATCH(orders!$D782, products!$A$1:$A$49, 0), MATCH(orders!L$1, products!$A$1:$G$1, 0))</f>
        <v>13.75</v>
      </c>
      <c r="M782" s="6">
        <f t="shared" si="37"/>
        <v>41.25</v>
      </c>
      <c r="N782" t="str">
        <f t="shared" si="38"/>
        <v>Excelsa</v>
      </c>
      <c r="O782" t="str">
        <f t="shared" si="36"/>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_xlfn.XLOOKUP(C783,customers!$A$2:$A$1001,customers!$B$2:$B$1001,,0)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 MATCH(orders!$D783, products!$A$1:$A$49, 0), MATCH(orders!I$1, products!$A$1:$G$1, 0))</f>
        <v>Lib</v>
      </c>
      <c r="J783" t="str">
        <f>INDEX(products!$A$1:$G$49, MATCH(orders!$D783, products!$A$1:$A$49, 0), MATCH(orders!J$1, products!$A$1:$G$1, 0))</f>
        <v>L</v>
      </c>
      <c r="K783" s="5">
        <f>INDEX(products!$A$1:$G$49, MATCH(orders!$D783, products!$A$1:$A$49, 0), MATCH(orders!K$1, products!$A$1:$G$1, 0))</f>
        <v>2.5</v>
      </c>
      <c r="L783" s="6">
        <f>INDEX(products!$A$1:$G$49, MATCH(orders!$D783, products!$A$1:$A$49, 0), MATCH(orders!L$1, products!$A$1:$G$1, 0))</f>
        <v>36.454999999999998</v>
      </c>
      <c r="M783" s="6">
        <f t="shared" si="37"/>
        <v>145.82</v>
      </c>
      <c r="N783" t="str">
        <f t="shared" si="38"/>
        <v>Liberica</v>
      </c>
      <c r="O783" t="str">
        <f t="shared" si="36"/>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_xlfn.XLOOKUP(C784,customers!$A$2:$A$1001,customers!$B$2:$B$1001,,0)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 MATCH(orders!$D784, products!$A$1:$A$49, 0), MATCH(orders!I$1, products!$A$1:$G$1, 0))</f>
        <v>Exc</v>
      </c>
      <c r="J784" t="str">
        <f>INDEX(products!$A$1:$G$49, MATCH(orders!$D784, products!$A$1:$A$49, 0), MATCH(orders!J$1, products!$A$1:$G$1, 0))</f>
        <v>L</v>
      </c>
      <c r="K784" s="5">
        <f>INDEX(products!$A$1:$G$49, MATCH(orders!$D784, products!$A$1:$A$49, 0), MATCH(orders!K$1, products!$A$1:$G$1, 0))</f>
        <v>0.2</v>
      </c>
      <c r="L784" s="6">
        <f>INDEX(products!$A$1:$G$49, MATCH(orders!$D784, products!$A$1:$A$49, 0), MATCH(orders!L$1, products!$A$1:$G$1, 0))</f>
        <v>4.4550000000000001</v>
      </c>
      <c r="M784" s="6">
        <f t="shared" si="37"/>
        <v>26.73</v>
      </c>
      <c r="N784" t="str">
        <f t="shared" si="38"/>
        <v>Excelsa</v>
      </c>
      <c r="O784" t="str">
        <f t="shared" si="36"/>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_xlfn.XLOOKUP(C785,customers!$A$2:$A$1001,customers!$B$2:$B$1001,,0)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 MATCH(orders!$D785, products!$A$1:$A$49, 0), MATCH(orders!I$1, products!$A$1:$G$1, 0))</f>
        <v>Lib</v>
      </c>
      <c r="J785" t="str">
        <f>INDEX(products!$A$1:$G$49, MATCH(orders!$D785, products!$A$1:$A$49, 0), MATCH(orders!J$1, products!$A$1:$G$1, 0))</f>
        <v>M</v>
      </c>
      <c r="K785" s="5">
        <f>INDEX(products!$A$1:$G$49, MATCH(orders!$D785, products!$A$1:$A$49, 0), MATCH(orders!K$1, products!$A$1:$G$1, 0))</f>
        <v>0.5</v>
      </c>
      <c r="L785" s="6">
        <f>INDEX(products!$A$1:$G$49, MATCH(orders!$D785, products!$A$1:$A$49, 0), MATCH(orders!L$1, products!$A$1:$G$1, 0))</f>
        <v>8.73</v>
      </c>
      <c r="M785" s="6">
        <f t="shared" si="37"/>
        <v>43.650000000000006</v>
      </c>
      <c r="N785" t="str">
        <f t="shared" si="38"/>
        <v>Liberica</v>
      </c>
      <c r="O785" t="str">
        <f t="shared" si="36"/>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_xlfn.XLOOKUP(C786,customers!$A$2:$A$1001,customers!$B$2:$B$1001,,0)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 MATCH(orders!$D786, products!$A$1:$A$49, 0), MATCH(orders!I$1, products!$A$1:$G$1, 0))</f>
        <v>Lib</v>
      </c>
      <c r="J786" t="str">
        <f>INDEX(products!$A$1:$G$49, MATCH(orders!$D786, products!$A$1:$A$49, 0), MATCH(orders!J$1, products!$A$1:$G$1, 0))</f>
        <v>L</v>
      </c>
      <c r="K786" s="5">
        <f>INDEX(products!$A$1:$G$49, MATCH(orders!$D786, products!$A$1:$A$49, 0), MATCH(orders!K$1, products!$A$1:$G$1, 0))</f>
        <v>1</v>
      </c>
      <c r="L786" s="6">
        <f>INDEX(products!$A$1:$G$49, MATCH(orders!$D786, products!$A$1:$A$49, 0), MATCH(orders!L$1, products!$A$1:$G$1, 0))</f>
        <v>15.85</v>
      </c>
      <c r="M786" s="6">
        <f t="shared" si="37"/>
        <v>31.7</v>
      </c>
      <c r="N786" t="str">
        <f t="shared" si="38"/>
        <v>Liberica</v>
      </c>
      <c r="O786" t="str">
        <f t="shared" si="36"/>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_xlfn.XLOOKUP(C787,customers!$A$2:$A$1001,customers!$B$2:$B$1001,,0)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 MATCH(orders!$D787, products!$A$1:$A$49, 0), MATCH(orders!I$1, products!$A$1:$G$1, 0))</f>
        <v>Ara</v>
      </c>
      <c r="J787" t="str">
        <f>INDEX(products!$A$1:$G$49, MATCH(orders!$D787, products!$A$1:$A$49, 0), MATCH(orders!J$1, products!$A$1:$G$1, 0))</f>
        <v>D</v>
      </c>
      <c r="K787" s="5">
        <f>INDEX(products!$A$1:$G$49, MATCH(orders!$D787, products!$A$1:$A$49, 0), MATCH(orders!K$1, products!$A$1:$G$1, 0))</f>
        <v>2.5</v>
      </c>
      <c r="L787" s="6">
        <f>INDEX(products!$A$1:$G$49, MATCH(orders!$D787, products!$A$1:$A$49, 0), MATCH(orders!L$1, products!$A$1:$G$1, 0))</f>
        <v>22.884999999999998</v>
      </c>
      <c r="M787" s="6">
        <f t="shared" si="37"/>
        <v>22.884999999999998</v>
      </c>
      <c r="N787" t="str">
        <f t="shared" si="38"/>
        <v>Arabica</v>
      </c>
      <c r="O787" t="str">
        <f t="shared" si="36"/>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_xlfn.XLOOKUP(C788,customers!$A$2:$A$1001,customers!$B$2:$B$1001,,0)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 MATCH(orders!$D788, products!$A$1:$A$49, 0), MATCH(orders!I$1, products!$A$1:$G$1, 0))</f>
        <v>Exc</v>
      </c>
      <c r="J788" t="str">
        <f>INDEX(products!$A$1:$G$49, MATCH(orders!$D788, products!$A$1:$A$49, 0), MATCH(orders!J$1, products!$A$1:$G$1, 0))</f>
        <v>D</v>
      </c>
      <c r="K788" s="5">
        <f>INDEX(products!$A$1:$G$49, MATCH(orders!$D788, products!$A$1:$A$49, 0), MATCH(orders!K$1, products!$A$1:$G$1, 0))</f>
        <v>2.5</v>
      </c>
      <c r="L788" s="6">
        <f>INDEX(products!$A$1:$G$49, MATCH(orders!$D788, products!$A$1:$A$49, 0), MATCH(orders!L$1, products!$A$1:$G$1, 0))</f>
        <v>27.945</v>
      </c>
      <c r="M788" s="6">
        <f t="shared" si="37"/>
        <v>27.945</v>
      </c>
      <c r="N788" t="str">
        <f t="shared" si="38"/>
        <v>Excelsa</v>
      </c>
      <c r="O788" t="str">
        <f t="shared" si="36"/>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_xlfn.XLOOKUP(C789,customers!$A$2:$A$1001,customers!$B$2:$B$1001,,0)</f>
        <v>Beryl Osborn</v>
      </c>
      <c r="G789" s="2" t="str">
        <f>IF(_xlfn.XLOOKUP(C789,customers!$A$1:$A$1001,customers!$C$1:$C$1001,,0)=0,"",_xlfn.XLOOKUP(C789,customers!$A$1:$A$1001,customers!$C$1:$C$1001,,0))</f>
        <v/>
      </c>
      <c r="H789" s="2" t="str">
        <f>_xlfn.XLOOKUP(C789,customers!$A$1:$A$1001,customers!$G$1:$G$1001,,0)</f>
        <v>United States</v>
      </c>
      <c r="I789" t="str">
        <f>INDEX(products!$A$1:$G$49, MATCH(orders!$D789, products!$A$1:$A$49, 0), MATCH(orders!I$1, products!$A$1:$G$1, 0))</f>
        <v>Exc</v>
      </c>
      <c r="J789" t="str">
        <f>INDEX(products!$A$1:$G$49, MATCH(orders!$D789, products!$A$1:$A$49, 0), MATCH(orders!J$1, products!$A$1:$G$1, 0))</f>
        <v>M</v>
      </c>
      <c r="K789" s="5">
        <f>INDEX(products!$A$1:$G$49, MATCH(orders!$D789, products!$A$1:$A$49, 0), MATCH(orders!K$1, products!$A$1:$G$1, 0))</f>
        <v>1</v>
      </c>
      <c r="L789" s="6">
        <f>INDEX(products!$A$1:$G$49, MATCH(orders!$D789, products!$A$1:$A$49, 0), MATCH(orders!L$1, products!$A$1:$G$1, 0))</f>
        <v>13.75</v>
      </c>
      <c r="M789" s="6">
        <f t="shared" si="37"/>
        <v>82.5</v>
      </c>
      <c r="N789" t="str">
        <f t="shared" si="38"/>
        <v>Excelsa</v>
      </c>
      <c r="O789" t="str">
        <f t="shared" si="36"/>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_xlfn.XLOOKUP(C790,customers!$A$2:$A$1001,customers!$B$2:$B$1001,,0)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 MATCH(orders!$D790, products!$A$1:$A$49, 0), MATCH(orders!I$1, products!$A$1:$G$1, 0))</f>
        <v>Rob</v>
      </c>
      <c r="J790" t="str">
        <f>INDEX(products!$A$1:$G$49, MATCH(orders!$D790, products!$A$1:$A$49, 0), MATCH(orders!J$1, products!$A$1:$G$1, 0))</f>
        <v>M</v>
      </c>
      <c r="K790" s="5">
        <f>INDEX(products!$A$1:$G$49, MATCH(orders!$D790, products!$A$1:$A$49, 0), MATCH(orders!K$1, products!$A$1:$G$1, 0))</f>
        <v>2.5</v>
      </c>
      <c r="L790" s="6">
        <f>INDEX(products!$A$1:$G$49, MATCH(orders!$D790, products!$A$1:$A$49, 0), MATCH(orders!L$1, products!$A$1:$G$1, 0))</f>
        <v>22.884999999999998</v>
      </c>
      <c r="M790" s="6">
        <f t="shared" si="37"/>
        <v>45.769999999999996</v>
      </c>
      <c r="N790" t="str">
        <f t="shared" si="38"/>
        <v>Robusta</v>
      </c>
      <c r="O790" t="str">
        <f t="shared" si="36"/>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_xlfn.XLOOKUP(C791,customers!$A$2:$A$1001,customers!$B$2:$B$1001,,0)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 MATCH(orders!$D791, products!$A$1:$A$49, 0), MATCH(orders!I$1, products!$A$1:$G$1, 0))</f>
        <v>Ara</v>
      </c>
      <c r="J791" t="str">
        <f>INDEX(products!$A$1:$G$49, MATCH(orders!$D791, products!$A$1:$A$49, 0), MATCH(orders!J$1, products!$A$1:$G$1, 0))</f>
        <v>L</v>
      </c>
      <c r="K791" s="5">
        <f>INDEX(products!$A$1:$G$49, MATCH(orders!$D791, products!$A$1:$A$49, 0), MATCH(orders!K$1, products!$A$1:$G$1, 0))</f>
        <v>1</v>
      </c>
      <c r="L791" s="6">
        <f>INDEX(products!$A$1:$G$49, MATCH(orders!$D791, products!$A$1:$A$49, 0), MATCH(orders!L$1, products!$A$1:$G$1, 0))</f>
        <v>12.95</v>
      </c>
      <c r="M791" s="6">
        <f t="shared" si="37"/>
        <v>77.699999999999989</v>
      </c>
      <c r="N791" t="str">
        <f t="shared" si="38"/>
        <v>Arabica</v>
      </c>
      <c r="O791" t="str">
        <f t="shared" si="36"/>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_xlfn.XLOOKUP(C792,customers!$A$2:$A$1001,customers!$B$2:$B$1001,,0)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 MATCH(orders!$D792, products!$A$1:$A$49, 0), MATCH(orders!I$1, products!$A$1:$G$1, 0))</f>
        <v>Ara</v>
      </c>
      <c r="J792" t="str">
        <f>INDEX(products!$A$1:$G$49, MATCH(orders!$D792, products!$A$1:$A$49, 0), MATCH(orders!J$1, products!$A$1:$G$1, 0))</f>
        <v>L</v>
      </c>
      <c r="K792" s="5">
        <f>INDEX(products!$A$1:$G$49, MATCH(orders!$D792, products!$A$1:$A$49, 0), MATCH(orders!K$1, products!$A$1:$G$1, 0))</f>
        <v>0.5</v>
      </c>
      <c r="L792" s="6">
        <f>INDEX(products!$A$1:$G$49, MATCH(orders!$D792, products!$A$1:$A$49, 0), MATCH(orders!L$1, products!$A$1:$G$1, 0))</f>
        <v>7.77</v>
      </c>
      <c r="M792" s="6">
        <f t="shared" si="37"/>
        <v>23.31</v>
      </c>
      <c r="N792" t="str">
        <f t="shared" si="38"/>
        <v>Arabica</v>
      </c>
      <c r="O792" t="str">
        <f t="shared" si="36"/>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_xlfn.XLOOKUP(C793,customers!$A$2:$A$1001,customers!$B$2:$B$1001,,0)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 MATCH(orders!$D793, products!$A$1:$A$49, 0), MATCH(orders!I$1, products!$A$1:$G$1, 0))</f>
        <v>Lib</v>
      </c>
      <c r="J793" t="str">
        <f>INDEX(products!$A$1:$G$49, MATCH(orders!$D793, products!$A$1:$A$49, 0), MATCH(orders!J$1, products!$A$1:$G$1, 0))</f>
        <v>L</v>
      </c>
      <c r="K793" s="5">
        <f>INDEX(products!$A$1:$G$49, MATCH(orders!$D793, products!$A$1:$A$49, 0), MATCH(orders!K$1, products!$A$1:$G$1, 0))</f>
        <v>0.2</v>
      </c>
      <c r="L793" s="6">
        <f>INDEX(products!$A$1:$G$49, MATCH(orders!$D793, products!$A$1:$A$49, 0), MATCH(orders!L$1, products!$A$1:$G$1, 0))</f>
        <v>4.7549999999999999</v>
      </c>
      <c r="M793" s="6">
        <f t="shared" si="37"/>
        <v>23.774999999999999</v>
      </c>
      <c r="N793" t="str">
        <f t="shared" si="38"/>
        <v>Liberica</v>
      </c>
      <c r="O793" t="str">
        <f t="shared" si="36"/>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_xlfn.XLOOKUP(C794,customers!$A$2:$A$1001,customers!$B$2:$B$1001,,0)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 MATCH(orders!$D794, products!$A$1:$A$49, 0), MATCH(orders!I$1, products!$A$1:$G$1, 0))</f>
        <v>Lib</v>
      </c>
      <c r="J794" t="str">
        <f>INDEX(products!$A$1:$G$49, MATCH(orders!$D794, products!$A$1:$A$49, 0), MATCH(orders!J$1, products!$A$1:$G$1, 0))</f>
        <v>M</v>
      </c>
      <c r="K794" s="5">
        <f>INDEX(products!$A$1:$G$49, MATCH(orders!$D794, products!$A$1:$A$49, 0), MATCH(orders!K$1, products!$A$1:$G$1, 0))</f>
        <v>0.5</v>
      </c>
      <c r="L794" s="6">
        <f>INDEX(products!$A$1:$G$49, MATCH(orders!$D794, products!$A$1:$A$49, 0), MATCH(orders!L$1, products!$A$1:$G$1, 0))</f>
        <v>8.73</v>
      </c>
      <c r="M794" s="6">
        <f t="shared" si="37"/>
        <v>52.38</v>
      </c>
      <c r="N794" t="str">
        <f t="shared" si="38"/>
        <v>Liberica</v>
      </c>
      <c r="O794" t="str">
        <f t="shared" si="36"/>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_xlfn.XLOOKUP(C795,customers!$A$2:$A$1001,customers!$B$2:$B$1001,,0)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 MATCH(orders!$D795, products!$A$1:$A$49, 0), MATCH(orders!I$1, products!$A$1:$G$1, 0))</f>
        <v>Rob</v>
      </c>
      <c r="J795" t="str">
        <f>INDEX(products!$A$1:$G$49, MATCH(orders!$D795, products!$A$1:$A$49, 0), MATCH(orders!J$1, products!$A$1:$G$1, 0))</f>
        <v>L</v>
      </c>
      <c r="K795" s="5">
        <f>INDEX(products!$A$1:$G$49, MATCH(orders!$D795, products!$A$1:$A$49, 0), MATCH(orders!K$1, products!$A$1:$G$1, 0))</f>
        <v>0.2</v>
      </c>
      <c r="L795" s="6">
        <f>INDEX(products!$A$1:$G$49, MATCH(orders!$D795, products!$A$1:$A$49, 0), MATCH(orders!L$1, products!$A$1:$G$1, 0))</f>
        <v>3.5849999999999995</v>
      </c>
      <c r="M795" s="6">
        <f t="shared" si="37"/>
        <v>17.924999999999997</v>
      </c>
      <c r="N795" t="str">
        <f t="shared" si="38"/>
        <v>Robusta</v>
      </c>
      <c r="O795" t="str">
        <f t="shared" si="36"/>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_xlfn.XLOOKUP(C796,customers!$A$2:$A$1001,customers!$B$2:$B$1001,,0)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 MATCH(orders!$D796, products!$A$1:$A$49, 0), MATCH(orders!I$1, products!$A$1:$G$1, 0))</f>
        <v>Ara</v>
      </c>
      <c r="J796" t="str">
        <f>INDEX(products!$A$1:$G$49, MATCH(orders!$D796, products!$A$1:$A$49, 0), MATCH(orders!J$1, products!$A$1:$G$1, 0))</f>
        <v>L</v>
      </c>
      <c r="K796" s="5">
        <f>INDEX(products!$A$1:$G$49, MATCH(orders!$D796, products!$A$1:$A$49, 0), MATCH(orders!K$1, products!$A$1:$G$1, 0))</f>
        <v>2.5</v>
      </c>
      <c r="L796" s="6">
        <f>INDEX(products!$A$1:$G$49, MATCH(orders!$D796, products!$A$1:$A$49, 0), MATCH(orders!L$1, products!$A$1:$G$1, 0))</f>
        <v>29.784999999999997</v>
      </c>
      <c r="M796" s="6">
        <f t="shared" si="37"/>
        <v>148.92499999999998</v>
      </c>
      <c r="N796" t="str">
        <f t="shared" si="38"/>
        <v>Arabica</v>
      </c>
      <c r="O796" t="str">
        <f t="shared" si="36"/>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_xlfn.XLOOKUP(C797,customers!$A$2:$A$1001,customers!$B$2:$B$1001,,0)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 MATCH(orders!$D797, products!$A$1:$A$49, 0), MATCH(orders!I$1, products!$A$1:$G$1, 0))</f>
        <v>Rob</v>
      </c>
      <c r="J797" t="str">
        <f>INDEX(products!$A$1:$G$49, MATCH(orders!$D797, products!$A$1:$A$49, 0), MATCH(orders!J$1, products!$A$1:$G$1, 0))</f>
        <v>L</v>
      </c>
      <c r="K797" s="5">
        <f>INDEX(products!$A$1:$G$49, MATCH(orders!$D797, products!$A$1:$A$49, 0), MATCH(orders!K$1, products!$A$1:$G$1, 0))</f>
        <v>0.5</v>
      </c>
      <c r="L797" s="6">
        <f>INDEX(products!$A$1:$G$49, MATCH(orders!$D797, products!$A$1:$A$49, 0), MATCH(orders!L$1, products!$A$1:$G$1, 0))</f>
        <v>7.169999999999999</v>
      </c>
      <c r="M797" s="6">
        <f t="shared" si="37"/>
        <v>28.679999999999996</v>
      </c>
      <c r="N797" t="str">
        <f t="shared" si="38"/>
        <v>Robusta</v>
      </c>
      <c r="O797" t="str">
        <f t="shared" si="36"/>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_xlfn.XLOOKUP(C798,customers!$A$2:$A$1001,customers!$B$2:$B$1001,,0)</f>
        <v>Merell Zanazzi</v>
      </c>
      <c r="G798" s="2" t="str">
        <f>IF(_xlfn.XLOOKUP(C798,customers!$A$1:$A$1001,customers!$C$1:$C$1001,,0)=0,"",_xlfn.XLOOKUP(C798,customers!$A$1:$A$1001,customers!$C$1:$C$1001,,0))</f>
        <v/>
      </c>
      <c r="H798" s="2" t="str">
        <f>_xlfn.XLOOKUP(C798,customers!$A$1:$A$1001,customers!$G$1:$G$1001,,0)</f>
        <v>United States</v>
      </c>
      <c r="I798" t="str">
        <f>INDEX(products!$A$1:$G$49, MATCH(orders!$D798, products!$A$1:$A$49, 0), MATCH(orders!I$1, products!$A$1:$G$1, 0))</f>
        <v>Lib</v>
      </c>
      <c r="J798" t="str">
        <f>INDEX(products!$A$1:$G$49, MATCH(orders!$D798, products!$A$1:$A$49, 0), MATCH(orders!J$1, products!$A$1:$G$1, 0))</f>
        <v>L</v>
      </c>
      <c r="K798" s="5">
        <f>INDEX(products!$A$1:$G$49, MATCH(orders!$D798, products!$A$1:$A$49, 0), MATCH(orders!K$1, products!$A$1:$G$1, 0))</f>
        <v>0.5</v>
      </c>
      <c r="L798" s="6">
        <f>INDEX(products!$A$1:$G$49, MATCH(orders!$D798, products!$A$1:$A$49, 0), MATCH(orders!L$1, products!$A$1:$G$1, 0))</f>
        <v>9.51</v>
      </c>
      <c r="M798" s="6">
        <f t="shared" si="37"/>
        <v>9.51</v>
      </c>
      <c r="N798" t="str">
        <f t="shared" si="38"/>
        <v>Liberica</v>
      </c>
      <c r="O798" t="str">
        <f t="shared" si="36"/>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_xlfn.XLOOKUP(C799,customers!$A$2:$A$1001,customers!$B$2:$B$1001,,0)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 MATCH(orders!$D799, products!$A$1:$A$49, 0), MATCH(orders!I$1, products!$A$1:$G$1, 0))</f>
        <v>Ara</v>
      </c>
      <c r="J799" t="str">
        <f>INDEX(products!$A$1:$G$49, MATCH(orders!$D799, products!$A$1:$A$49, 0), MATCH(orders!J$1, products!$A$1:$G$1, 0))</f>
        <v>L</v>
      </c>
      <c r="K799" s="5">
        <f>INDEX(products!$A$1:$G$49, MATCH(orders!$D799, products!$A$1:$A$49, 0), MATCH(orders!K$1, products!$A$1:$G$1, 0))</f>
        <v>0.5</v>
      </c>
      <c r="L799" s="6">
        <f>INDEX(products!$A$1:$G$49, MATCH(orders!$D799, products!$A$1:$A$49, 0), MATCH(orders!L$1, products!$A$1:$G$1, 0))</f>
        <v>7.77</v>
      </c>
      <c r="M799" s="6">
        <f t="shared" si="37"/>
        <v>31.08</v>
      </c>
      <c r="N799" t="str">
        <f t="shared" si="38"/>
        <v>Arabica</v>
      </c>
      <c r="O799" t="str">
        <f t="shared" si="36"/>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_xlfn.XLOOKUP(C800,customers!$A$2:$A$1001,customers!$B$2:$B$1001,,0)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 MATCH(orders!$D800, products!$A$1:$A$49, 0), MATCH(orders!I$1, products!$A$1:$G$1, 0))</f>
        <v>Rob</v>
      </c>
      <c r="J800" t="str">
        <f>INDEX(products!$A$1:$G$49, MATCH(orders!$D800, products!$A$1:$A$49, 0), MATCH(orders!J$1, products!$A$1:$G$1, 0))</f>
        <v>D</v>
      </c>
      <c r="K800" s="5">
        <f>INDEX(products!$A$1:$G$49, MATCH(orders!$D800, products!$A$1:$A$49, 0), MATCH(orders!K$1, products!$A$1:$G$1, 0))</f>
        <v>0.2</v>
      </c>
      <c r="L800" s="6">
        <f>INDEX(products!$A$1:$G$49, MATCH(orders!$D800, products!$A$1:$A$49, 0), MATCH(orders!L$1, products!$A$1:$G$1, 0))</f>
        <v>2.6849999999999996</v>
      </c>
      <c r="M800" s="6">
        <f t="shared" si="37"/>
        <v>8.0549999999999997</v>
      </c>
      <c r="N800" t="str">
        <f t="shared" si="38"/>
        <v>Robusta</v>
      </c>
      <c r="O800" t="str">
        <f t="shared" si="36"/>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_xlfn.XLOOKUP(C801,customers!$A$2:$A$1001,customers!$B$2:$B$1001,,0)</f>
        <v>Gonzales Cicculi</v>
      </c>
      <c r="G801" s="2" t="str">
        <f>IF(_xlfn.XLOOKUP(C801,customers!$A$1:$A$1001,customers!$C$1:$C$1001,,0)=0,"",_xlfn.XLOOKUP(C801,customers!$A$1:$A$1001,customers!$C$1:$C$1001,,0))</f>
        <v/>
      </c>
      <c r="H801" s="2" t="str">
        <f>_xlfn.XLOOKUP(C801,customers!$A$1:$A$1001,customers!$G$1:$G$1001,,0)</f>
        <v>United States</v>
      </c>
      <c r="I801" t="str">
        <f>INDEX(products!$A$1:$G$49, MATCH(orders!$D801, products!$A$1:$A$49, 0), MATCH(orders!I$1, products!$A$1:$G$1, 0))</f>
        <v>Exc</v>
      </c>
      <c r="J801" t="str">
        <f>INDEX(products!$A$1:$G$49, MATCH(orders!$D801, products!$A$1:$A$49, 0), MATCH(orders!J$1, products!$A$1:$G$1, 0))</f>
        <v>D</v>
      </c>
      <c r="K801" s="5">
        <f>INDEX(products!$A$1:$G$49, MATCH(orders!$D801, products!$A$1:$A$49, 0), MATCH(orders!K$1, products!$A$1:$G$1, 0))</f>
        <v>1</v>
      </c>
      <c r="L801" s="6">
        <f>INDEX(products!$A$1:$G$49, MATCH(orders!$D801, products!$A$1:$A$49, 0), MATCH(orders!L$1, products!$A$1:$G$1, 0))</f>
        <v>12.15</v>
      </c>
      <c r="M801" s="6">
        <f t="shared" si="37"/>
        <v>36.450000000000003</v>
      </c>
      <c r="N801" t="str">
        <f t="shared" si="38"/>
        <v>Excelsa</v>
      </c>
      <c r="O801" t="str">
        <f t="shared" si="36"/>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_xlfn.XLOOKUP(C802,customers!$A$2:$A$1001,customers!$B$2:$B$1001,,0)</f>
        <v>Man Fright</v>
      </c>
      <c r="G802" s="2" t="str">
        <f>IF(_xlfn.XLOOKUP(C802,customers!$A$1:$A$1001,customers!$C$1:$C$1001,,0)=0,"",_xlfn.XLOOKUP(C802,customers!$A$1:$A$1001,customers!$C$1:$C$1001,,0))</f>
        <v>mfrightm8@harvard.edu</v>
      </c>
      <c r="H802" s="2" t="str">
        <f>_xlfn.XLOOKUP(C802,customers!$A$1:$A$1001,customers!$G$1:$G$1001,,0)</f>
        <v>Ireland</v>
      </c>
      <c r="I802" t="str">
        <f>INDEX(products!$A$1:$G$49, MATCH(orders!$D802, products!$A$1:$A$49, 0), MATCH(orders!I$1, products!$A$1:$G$1, 0))</f>
        <v>Rob</v>
      </c>
      <c r="J802" t="str">
        <f>INDEX(products!$A$1:$G$49, MATCH(orders!$D802, products!$A$1:$A$49, 0), MATCH(orders!J$1, products!$A$1:$G$1, 0))</f>
        <v>D</v>
      </c>
      <c r="K802" s="5">
        <f>INDEX(products!$A$1:$G$49, MATCH(orders!$D802, products!$A$1:$A$49, 0), MATCH(orders!K$1, products!$A$1:$G$1, 0))</f>
        <v>0.2</v>
      </c>
      <c r="L802" s="6">
        <f>INDEX(products!$A$1:$G$49, MATCH(orders!$D802, products!$A$1:$A$49, 0), MATCH(orders!L$1, products!$A$1:$G$1, 0))</f>
        <v>2.6849999999999996</v>
      </c>
      <c r="M802" s="6">
        <f t="shared" si="37"/>
        <v>16.11</v>
      </c>
      <c r="N802" t="str">
        <f t="shared" si="38"/>
        <v>Robusta</v>
      </c>
      <c r="O802" t="str">
        <f t="shared" si="36"/>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_xlfn.XLOOKUP(C803,customers!$A$2:$A$1001,customers!$B$2:$B$1001,,0)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 MATCH(orders!$D803, products!$A$1:$A$49, 0), MATCH(orders!I$1, products!$A$1:$G$1, 0))</f>
        <v>Rob</v>
      </c>
      <c r="J803" t="str">
        <f>INDEX(products!$A$1:$G$49, MATCH(orders!$D803, products!$A$1:$A$49, 0), MATCH(orders!J$1, products!$A$1:$G$1, 0))</f>
        <v>D</v>
      </c>
      <c r="K803" s="5">
        <f>INDEX(products!$A$1:$G$49, MATCH(orders!$D803, products!$A$1:$A$49, 0), MATCH(orders!K$1, products!$A$1:$G$1, 0))</f>
        <v>2.5</v>
      </c>
      <c r="L803" s="6">
        <f>INDEX(products!$A$1:$G$49, MATCH(orders!$D803, products!$A$1:$A$49, 0), MATCH(orders!L$1, products!$A$1:$G$1, 0))</f>
        <v>20.584999999999997</v>
      </c>
      <c r="M803" s="6">
        <f t="shared" si="37"/>
        <v>41.169999999999995</v>
      </c>
      <c r="N803" t="str">
        <f t="shared" si="38"/>
        <v>Robusta</v>
      </c>
      <c r="O803" t="str">
        <f t="shared" si="36"/>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_xlfn.XLOOKUP(C804,customers!$A$2:$A$1001,customers!$B$2:$B$1001,,0)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 MATCH(orders!$D804, products!$A$1:$A$49, 0), MATCH(orders!I$1, products!$A$1:$G$1, 0))</f>
        <v>Rob</v>
      </c>
      <c r="J804" t="str">
        <f>INDEX(products!$A$1:$G$49, MATCH(orders!$D804, products!$A$1:$A$49, 0), MATCH(orders!J$1, products!$A$1:$G$1, 0))</f>
        <v>D</v>
      </c>
      <c r="K804" s="5">
        <f>INDEX(products!$A$1:$G$49, MATCH(orders!$D804, products!$A$1:$A$49, 0), MATCH(orders!K$1, products!$A$1:$G$1, 0))</f>
        <v>0.2</v>
      </c>
      <c r="L804" s="6">
        <f>INDEX(products!$A$1:$G$49, MATCH(orders!$D804, products!$A$1:$A$49, 0), MATCH(orders!L$1, products!$A$1:$G$1, 0))</f>
        <v>2.6849999999999996</v>
      </c>
      <c r="M804" s="6">
        <f t="shared" si="37"/>
        <v>10.739999999999998</v>
      </c>
      <c r="N804" t="str">
        <f t="shared" si="38"/>
        <v>Robusta</v>
      </c>
      <c r="O804" t="str">
        <f t="shared" si="36"/>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_xlfn.XLOOKUP(C805,customers!$A$2:$A$1001,customers!$B$2:$B$1001,,0)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 MATCH(orders!$D805, products!$A$1:$A$49, 0), MATCH(orders!I$1, products!$A$1:$G$1, 0))</f>
        <v>Exc</v>
      </c>
      <c r="J805" t="str">
        <f>INDEX(products!$A$1:$G$49, MATCH(orders!$D805, products!$A$1:$A$49, 0), MATCH(orders!J$1, products!$A$1:$G$1, 0))</f>
        <v>M</v>
      </c>
      <c r="K805" s="5">
        <f>INDEX(products!$A$1:$G$49, MATCH(orders!$D805, products!$A$1:$A$49, 0), MATCH(orders!K$1, products!$A$1:$G$1, 0))</f>
        <v>2.5</v>
      </c>
      <c r="L805" s="6">
        <f>INDEX(products!$A$1:$G$49, MATCH(orders!$D805, products!$A$1:$A$49, 0), MATCH(orders!L$1, products!$A$1:$G$1, 0))</f>
        <v>31.624999999999996</v>
      </c>
      <c r="M805" s="6">
        <f t="shared" si="37"/>
        <v>126.49999999999999</v>
      </c>
      <c r="N805" t="str">
        <f t="shared" si="38"/>
        <v>Excelsa</v>
      </c>
      <c r="O805" t="str">
        <f t="shared" si="36"/>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_xlfn.XLOOKUP(C806,customers!$A$2:$A$1001,customers!$B$2:$B$1001,,0)</f>
        <v>Jammie Cloke</v>
      </c>
      <c r="G806" s="2" t="str">
        <f>IF(_xlfn.XLOOKUP(C806,customers!$A$1:$A$1001,customers!$C$1:$C$1001,,0)=0,"",_xlfn.XLOOKUP(C806,customers!$A$1:$A$1001,customers!$C$1:$C$1001,,0))</f>
        <v/>
      </c>
      <c r="H806" s="2" t="str">
        <f>_xlfn.XLOOKUP(C806,customers!$A$1:$A$1001,customers!$G$1:$G$1001,,0)</f>
        <v>United Kingdom</v>
      </c>
      <c r="I806" t="str">
        <f>INDEX(products!$A$1:$G$49, MATCH(orders!$D806, products!$A$1:$A$49, 0), MATCH(orders!I$1, products!$A$1:$G$1, 0))</f>
        <v>Rob</v>
      </c>
      <c r="J806" t="str">
        <f>INDEX(products!$A$1:$G$49, MATCH(orders!$D806, products!$A$1:$A$49, 0), MATCH(orders!J$1, products!$A$1:$G$1, 0))</f>
        <v>L</v>
      </c>
      <c r="K806" s="5">
        <f>INDEX(products!$A$1:$G$49, MATCH(orders!$D806, products!$A$1:$A$49, 0), MATCH(orders!K$1, products!$A$1:$G$1, 0))</f>
        <v>1</v>
      </c>
      <c r="L806" s="6">
        <f>INDEX(products!$A$1:$G$49, MATCH(orders!$D806, products!$A$1:$A$49, 0), MATCH(orders!L$1, products!$A$1:$G$1, 0))</f>
        <v>11.95</v>
      </c>
      <c r="M806" s="6">
        <f t="shared" si="37"/>
        <v>23.9</v>
      </c>
      <c r="N806" t="str">
        <f t="shared" si="38"/>
        <v>Robusta</v>
      </c>
      <c r="O806" t="str">
        <f t="shared" si="36"/>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_xlfn.XLOOKUP(C807,customers!$A$2:$A$1001,customers!$B$2:$B$1001,,0)</f>
        <v>Chester Clowton</v>
      </c>
      <c r="G807" s="2" t="str">
        <f>IF(_xlfn.XLOOKUP(C807,customers!$A$1:$A$1001,customers!$C$1:$C$1001,,0)=0,"",_xlfn.XLOOKUP(C807,customers!$A$1:$A$1001,customers!$C$1:$C$1001,,0))</f>
        <v/>
      </c>
      <c r="H807" s="2" t="str">
        <f>_xlfn.XLOOKUP(C807,customers!$A$1:$A$1001,customers!$G$1:$G$1001,,0)</f>
        <v>United States</v>
      </c>
      <c r="I807" t="str">
        <f>INDEX(products!$A$1:$G$49, MATCH(orders!$D807, products!$A$1:$A$49, 0), MATCH(orders!I$1, products!$A$1:$G$1, 0))</f>
        <v>Rob</v>
      </c>
      <c r="J807" t="str">
        <f>INDEX(products!$A$1:$G$49, MATCH(orders!$D807, products!$A$1:$A$49, 0), MATCH(orders!J$1, products!$A$1:$G$1, 0))</f>
        <v>M</v>
      </c>
      <c r="K807" s="5">
        <f>INDEX(products!$A$1:$G$49, MATCH(orders!$D807, products!$A$1:$A$49, 0), MATCH(orders!K$1, products!$A$1:$G$1, 0))</f>
        <v>0.5</v>
      </c>
      <c r="L807" s="6">
        <f>INDEX(products!$A$1:$G$49, MATCH(orders!$D807, products!$A$1:$A$49, 0), MATCH(orders!L$1, products!$A$1:$G$1, 0))</f>
        <v>5.97</v>
      </c>
      <c r="M807" s="6">
        <f t="shared" si="37"/>
        <v>5.97</v>
      </c>
      <c r="N807" t="str">
        <f t="shared" si="38"/>
        <v>Robusta</v>
      </c>
      <c r="O807" t="str">
        <f t="shared" si="36"/>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_xlfn.XLOOKUP(C808,customers!$A$2:$A$1001,customers!$B$2:$B$1001,,0)</f>
        <v>Kathleen Diable</v>
      </c>
      <c r="G808" s="2" t="str">
        <f>IF(_xlfn.XLOOKUP(C808,customers!$A$1:$A$1001,customers!$C$1:$C$1001,,0)=0,"",_xlfn.XLOOKUP(C808,customers!$A$1:$A$1001,customers!$C$1:$C$1001,,0))</f>
        <v/>
      </c>
      <c r="H808" s="2" t="str">
        <f>_xlfn.XLOOKUP(C808,customers!$A$1:$A$1001,customers!$G$1:$G$1001,,0)</f>
        <v>United Kingdom</v>
      </c>
      <c r="I808" t="str">
        <f>INDEX(products!$A$1:$G$49, MATCH(orders!$D808, products!$A$1:$A$49, 0), MATCH(orders!I$1, products!$A$1:$G$1, 0))</f>
        <v>Lib</v>
      </c>
      <c r="J808" t="str">
        <f>INDEX(products!$A$1:$G$49, MATCH(orders!$D808, products!$A$1:$A$49, 0), MATCH(orders!J$1, products!$A$1:$G$1, 0))</f>
        <v>D</v>
      </c>
      <c r="K808" s="5">
        <f>INDEX(products!$A$1:$G$49, MATCH(orders!$D808, products!$A$1:$A$49, 0), MATCH(orders!K$1, products!$A$1:$G$1, 0))</f>
        <v>0.2</v>
      </c>
      <c r="L808" s="6">
        <f>INDEX(products!$A$1:$G$49, MATCH(orders!$D808, products!$A$1:$A$49, 0), MATCH(orders!L$1, products!$A$1:$G$1, 0))</f>
        <v>3.8849999999999998</v>
      </c>
      <c r="M808" s="6">
        <f t="shared" si="37"/>
        <v>7.77</v>
      </c>
      <c r="N808" t="str">
        <f t="shared" si="38"/>
        <v>Liberica</v>
      </c>
      <c r="O808" t="str">
        <f t="shared" si="36"/>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_xlfn.XLOOKUP(C809,customers!$A$2:$A$1001,customers!$B$2:$B$1001,,0)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 MATCH(orders!$D809, products!$A$1:$A$49, 0), MATCH(orders!I$1, products!$A$1:$G$1, 0))</f>
        <v>Lib</v>
      </c>
      <c r="J809" t="str">
        <f>INDEX(products!$A$1:$G$49, MATCH(orders!$D809, products!$A$1:$A$49, 0), MATCH(orders!J$1, products!$A$1:$G$1, 0))</f>
        <v>D</v>
      </c>
      <c r="K809" s="5">
        <f>INDEX(products!$A$1:$G$49, MATCH(orders!$D809, products!$A$1:$A$49, 0), MATCH(orders!K$1, products!$A$1:$G$1, 0))</f>
        <v>0.5</v>
      </c>
      <c r="L809" s="6">
        <f>INDEX(products!$A$1:$G$49, MATCH(orders!$D809, products!$A$1:$A$49, 0), MATCH(orders!L$1, products!$A$1:$G$1, 0))</f>
        <v>7.77</v>
      </c>
      <c r="M809" s="6">
        <f t="shared" si="37"/>
        <v>23.31</v>
      </c>
      <c r="N809" t="str">
        <f t="shared" si="38"/>
        <v>Liberica</v>
      </c>
      <c r="O809" t="str">
        <f t="shared" si="36"/>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_xlfn.XLOOKUP(C810,customers!$A$2:$A$1001,customers!$B$2:$B$1001,,0)</f>
        <v>Allis Wilmore</v>
      </c>
      <c r="G810" s="2" t="str">
        <f>IF(_xlfn.XLOOKUP(C810,customers!$A$1:$A$1001,customers!$C$1:$C$1001,,0)=0,"",_xlfn.XLOOKUP(C810,customers!$A$1:$A$1001,customers!$C$1:$C$1001,,0))</f>
        <v/>
      </c>
      <c r="H810" s="2" t="str">
        <f>_xlfn.XLOOKUP(C810,customers!$A$1:$A$1001,customers!$G$1:$G$1001,,0)</f>
        <v>United States</v>
      </c>
      <c r="I810" t="str">
        <f>INDEX(products!$A$1:$G$49, MATCH(orders!$D810, products!$A$1:$A$49, 0), MATCH(orders!I$1, products!$A$1:$G$1, 0))</f>
        <v>Rob</v>
      </c>
      <c r="J810" t="str">
        <f>INDEX(products!$A$1:$G$49, MATCH(orders!$D810, products!$A$1:$A$49, 0), MATCH(orders!J$1, products!$A$1:$G$1, 0))</f>
        <v>L</v>
      </c>
      <c r="K810" s="5">
        <f>INDEX(products!$A$1:$G$49, MATCH(orders!$D810, products!$A$1:$A$49, 0), MATCH(orders!K$1, products!$A$1:$G$1, 0))</f>
        <v>2.5</v>
      </c>
      <c r="L810" s="6">
        <f>INDEX(products!$A$1:$G$49, MATCH(orders!$D810, products!$A$1:$A$49, 0), MATCH(orders!L$1, products!$A$1:$G$1, 0))</f>
        <v>27.484999999999996</v>
      </c>
      <c r="M810" s="6">
        <f t="shared" si="37"/>
        <v>137.42499999999998</v>
      </c>
      <c r="N810" t="str">
        <f t="shared" si="38"/>
        <v>Robusta</v>
      </c>
      <c r="O810" t="str">
        <f t="shared" si="36"/>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_xlfn.XLOOKUP(C811,customers!$A$2:$A$1001,customers!$B$2:$B$1001,,0)</f>
        <v>Chaddie Bennie</v>
      </c>
      <c r="G811" s="2" t="str">
        <f>IF(_xlfn.XLOOKUP(C811,customers!$A$1:$A$1001,customers!$C$1:$C$1001,,0)=0,"",_xlfn.XLOOKUP(C811,customers!$A$1:$A$1001,customers!$C$1:$C$1001,,0))</f>
        <v/>
      </c>
      <c r="H811" s="2" t="str">
        <f>_xlfn.XLOOKUP(C811,customers!$A$1:$A$1001,customers!$G$1:$G$1001,,0)</f>
        <v>United States</v>
      </c>
      <c r="I811" t="str">
        <f>INDEX(products!$A$1:$G$49, MATCH(orders!$D811, products!$A$1:$A$49, 0), MATCH(orders!I$1, products!$A$1:$G$1, 0))</f>
        <v>Rob</v>
      </c>
      <c r="J811" t="str">
        <f>INDEX(products!$A$1:$G$49, MATCH(orders!$D811, products!$A$1:$A$49, 0), MATCH(orders!J$1, products!$A$1:$G$1, 0))</f>
        <v>D</v>
      </c>
      <c r="K811" s="5">
        <f>INDEX(products!$A$1:$G$49, MATCH(orders!$D811, products!$A$1:$A$49, 0), MATCH(orders!K$1, products!$A$1:$G$1, 0))</f>
        <v>0.2</v>
      </c>
      <c r="L811" s="6">
        <f>INDEX(products!$A$1:$G$49, MATCH(orders!$D811, products!$A$1:$A$49, 0), MATCH(orders!L$1, products!$A$1:$G$1, 0))</f>
        <v>2.6849999999999996</v>
      </c>
      <c r="M811" s="6">
        <f t="shared" si="37"/>
        <v>8.0549999999999997</v>
      </c>
      <c r="N811" t="str">
        <f t="shared" si="38"/>
        <v>Robusta</v>
      </c>
      <c r="O811" t="str">
        <f t="shared" si="36"/>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_xlfn.XLOOKUP(C812,customers!$A$2:$A$1001,customers!$B$2:$B$1001,,0)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 MATCH(orders!$D812, products!$A$1:$A$49, 0), MATCH(orders!I$1, products!$A$1:$G$1, 0))</f>
        <v>Lib</v>
      </c>
      <c r="J812" t="str">
        <f>INDEX(products!$A$1:$G$49, MATCH(orders!$D812, products!$A$1:$A$49, 0), MATCH(orders!J$1, products!$A$1:$G$1, 0))</f>
        <v>L</v>
      </c>
      <c r="K812" s="5">
        <f>INDEX(products!$A$1:$G$49, MATCH(orders!$D812, products!$A$1:$A$49, 0), MATCH(orders!K$1, products!$A$1:$G$1, 0))</f>
        <v>0.5</v>
      </c>
      <c r="L812" s="6">
        <f>INDEX(products!$A$1:$G$49, MATCH(orders!$D812, products!$A$1:$A$49, 0), MATCH(orders!L$1, products!$A$1:$G$1, 0))</f>
        <v>9.51</v>
      </c>
      <c r="M812" s="6">
        <f t="shared" si="37"/>
        <v>28.53</v>
      </c>
      <c r="N812" t="str">
        <f t="shared" si="38"/>
        <v>Liberica</v>
      </c>
      <c r="O812" t="str">
        <f t="shared" si="36"/>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_xlfn.XLOOKUP(C813,customers!$A$2:$A$1001,customers!$B$2:$B$1001,,0)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 MATCH(orders!$D813, products!$A$1:$A$49, 0), MATCH(orders!I$1, products!$A$1:$G$1, 0))</f>
        <v>Ara</v>
      </c>
      <c r="J813" t="str">
        <f>INDEX(products!$A$1:$G$49, MATCH(orders!$D813, products!$A$1:$A$49, 0), MATCH(orders!J$1, products!$A$1:$G$1, 0))</f>
        <v>M</v>
      </c>
      <c r="K813" s="5">
        <f>INDEX(products!$A$1:$G$49, MATCH(orders!$D813, products!$A$1:$A$49, 0), MATCH(orders!K$1, products!$A$1:$G$1, 0))</f>
        <v>1</v>
      </c>
      <c r="L813" s="6">
        <f>INDEX(products!$A$1:$G$49, MATCH(orders!$D813, products!$A$1:$A$49, 0), MATCH(orders!L$1, products!$A$1:$G$1, 0))</f>
        <v>11.25</v>
      </c>
      <c r="M813" s="6">
        <f t="shared" si="37"/>
        <v>67.5</v>
      </c>
      <c r="N813" t="str">
        <f t="shared" si="38"/>
        <v>Arabica</v>
      </c>
      <c r="O813" t="str">
        <f t="shared" si="36"/>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_xlfn.XLOOKUP(C814,customers!$A$2:$A$1001,customers!$B$2:$B$1001,,0)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 MATCH(orders!$D814, products!$A$1:$A$49, 0), MATCH(orders!I$1, products!$A$1:$G$1, 0))</f>
        <v>Lib</v>
      </c>
      <c r="J814" t="str">
        <f>INDEX(products!$A$1:$G$49, MATCH(orders!$D814, products!$A$1:$A$49, 0), MATCH(orders!J$1, products!$A$1:$G$1, 0))</f>
        <v>D</v>
      </c>
      <c r="K814" s="5">
        <f>INDEX(products!$A$1:$G$49, MATCH(orders!$D814, products!$A$1:$A$49, 0), MATCH(orders!K$1, products!$A$1:$G$1, 0))</f>
        <v>2.5</v>
      </c>
      <c r="L814" s="6">
        <f>INDEX(products!$A$1:$G$49, MATCH(orders!$D814, products!$A$1:$A$49, 0), MATCH(orders!L$1, products!$A$1:$G$1, 0))</f>
        <v>29.784999999999997</v>
      </c>
      <c r="M814" s="6">
        <f t="shared" si="37"/>
        <v>178.70999999999998</v>
      </c>
      <c r="N814" t="str">
        <f t="shared" si="38"/>
        <v>Liberica</v>
      </c>
      <c r="O814" t="str">
        <f t="shared" si="36"/>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_xlfn.XLOOKUP(C815,customers!$A$2:$A$1001,customers!$B$2:$B$1001,,0)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 MATCH(orders!$D815, products!$A$1:$A$49, 0), MATCH(orders!I$1, products!$A$1:$G$1, 0))</f>
        <v>Exc</v>
      </c>
      <c r="J815" t="str">
        <f>INDEX(products!$A$1:$G$49, MATCH(orders!$D815, products!$A$1:$A$49, 0), MATCH(orders!J$1, products!$A$1:$G$1, 0))</f>
        <v>M</v>
      </c>
      <c r="K815" s="5">
        <f>INDEX(products!$A$1:$G$49, MATCH(orders!$D815, products!$A$1:$A$49, 0), MATCH(orders!K$1, products!$A$1:$G$1, 0))</f>
        <v>2.5</v>
      </c>
      <c r="L815" s="6">
        <f>INDEX(products!$A$1:$G$49, MATCH(orders!$D815, products!$A$1:$A$49, 0), MATCH(orders!L$1, products!$A$1:$G$1, 0))</f>
        <v>31.624999999999996</v>
      </c>
      <c r="M815" s="6">
        <f t="shared" si="37"/>
        <v>31.624999999999996</v>
      </c>
      <c r="N815" t="str">
        <f t="shared" si="38"/>
        <v>Excelsa</v>
      </c>
      <c r="O815" t="str">
        <f t="shared" si="36"/>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_xlfn.XLOOKUP(C816,customers!$A$2:$A$1001,customers!$B$2:$B$1001,,0)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 MATCH(orders!$D816, products!$A$1:$A$49, 0), MATCH(orders!I$1, products!$A$1:$G$1, 0))</f>
        <v>Exc</v>
      </c>
      <c r="J816" t="str">
        <f>INDEX(products!$A$1:$G$49, MATCH(orders!$D816, products!$A$1:$A$49, 0), MATCH(orders!J$1, products!$A$1:$G$1, 0))</f>
        <v>L</v>
      </c>
      <c r="K816" s="5">
        <f>INDEX(products!$A$1:$G$49, MATCH(orders!$D816, products!$A$1:$A$49, 0), MATCH(orders!K$1, products!$A$1:$G$1, 0))</f>
        <v>0.2</v>
      </c>
      <c r="L816" s="6">
        <f>INDEX(products!$A$1:$G$49, MATCH(orders!$D816, products!$A$1:$A$49, 0), MATCH(orders!L$1, products!$A$1:$G$1, 0))</f>
        <v>4.4550000000000001</v>
      </c>
      <c r="M816" s="6">
        <f t="shared" si="37"/>
        <v>8.91</v>
      </c>
      <c r="N816" t="str">
        <f t="shared" si="38"/>
        <v>Excelsa</v>
      </c>
      <c r="O816" t="str">
        <f t="shared" si="36"/>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_xlfn.XLOOKUP(C817,customers!$A$2:$A$1001,customers!$B$2:$B$1001,,0)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 MATCH(orders!$D817, products!$A$1:$A$49, 0), MATCH(orders!I$1, products!$A$1:$G$1, 0))</f>
        <v>Rob</v>
      </c>
      <c r="J817" t="str">
        <f>INDEX(products!$A$1:$G$49, MATCH(orders!$D817, products!$A$1:$A$49, 0), MATCH(orders!J$1, products!$A$1:$G$1, 0))</f>
        <v>M</v>
      </c>
      <c r="K817" s="5">
        <f>INDEX(products!$A$1:$G$49, MATCH(orders!$D817, products!$A$1:$A$49, 0), MATCH(orders!K$1, products!$A$1:$G$1, 0))</f>
        <v>0.5</v>
      </c>
      <c r="L817" s="6">
        <f>INDEX(products!$A$1:$G$49, MATCH(orders!$D817, products!$A$1:$A$49, 0), MATCH(orders!L$1, products!$A$1:$G$1, 0))</f>
        <v>5.97</v>
      </c>
      <c r="M817" s="6">
        <f t="shared" si="37"/>
        <v>35.82</v>
      </c>
      <c r="N817" t="str">
        <f t="shared" si="38"/>
        <v>Robusta</v>
      </c>
      <c r="O817" t="str">
        <f t="shared" si="36"/>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_xlfn.XLOOKUP(C818,customers!$A$2:$A$1001,customers!$B$2:$B$1001,,0)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 MATCH(orders!$D818, products!$A$1:$A$49, 0), MATCH(orders!I$1, products!$A$1:$G$1, 0))</f>
        <v>Lib</v>
      </c>
      <c r="J818" t="str">
        <f>INDEX(products!$A$1:$G$49, MATCH(orders!$D818, products!$A$1:$A$49, 0), MATCH(orders!J$1, products!$A$1:$G$1, 0))</f>
        <v>L</v>
      </c>
      <c r="K818" s="5">
        <f>INDEX(products!$A$1:$G$49, MATCH(orders!$D818, products!$A$1:$A$49, 0), MATCH(orders!K$1, products!$A$1:$G$1, 0))</f>
        <v>0.5</v>
      </c>
      <c r="L818" s="6">
        <f>INDEX(products!$A$1:$G$49, MATCH(orders!$D818, products!$A$1:$A$49, 0), MATCH(orders!L$1, products!$A$1:$G$1, 0))</f>
        <v>9.51</v>
      </c>
      <c r="M818" s="6">
        <f t="shared" si="37"/>
        <v>38.04</v>
      </c>
      <c r="N818" t="str">
        <f t="shared" si="38"/>
        <v>Liberica</v>
      </c>
      <c r="O818" t="str">
        <f t="shared" si="36"/>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_xlfn.XLOOKUP(C819,customers!$A$2:$A$1001,customers!$B$2:$B$1001,,0)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 MATCH(orders!$D819, products!$A$1:$A$49, 0), MATCH(orders!I$1, products!$A$1:$G$1, 0))</f>
        <v>Lib</v>
      </c>
      <c r="J819" t="str">
        <f>INDEX(products!$A$1:$G$49, MATCH(orders!$D819, products!$A$1:$A$49, 0), MATCH(orders!J$1, products!$A$1:$G$1, 0))</f>
        <v>D</v>
      </c>
      <c r="K819" s="5">
        <f>INDEX(products!$A$1:$G$49, MATCH(orders!$D819, products!$A$1:$A$49, 0), MATCH(orders!K$1, products!$A$1:$G$1, 0))</f>
        <v>0.5</v>
      </c>
      <c r="L819" s="6">
        <f>INDEX(products!$A$1:$G$49, MATCH(orders!$D819, products!$A$1:$A$49, 0), MATCH(orders!L$1, products!$A$1:$G$1, 0))</f>
        <v>7.77</v>
      </c>
      <c r="M819" s="6">
        <f t="shared" si="37"/>
        <v>15.54</v>
      </c>
      <c r="N819" t="str">
        <f t="shared" si="38"/>
        <v>Liberica</v>
      </c>
      <c r="O819" t="str">
        <f t="shared" si="36"/>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_xlfn.XLOOKUP(C820,customers!$A$2:$A$1001,customers!$B$2:$B$1001,,0)</f>
        <v>Allis Wilmore</v>
      </c>
      <c r="G820" s="2" t="str">
        <f>IF(_xlfn.XLOOKUP(C820,customers!$A$1:$A$1001,customers!$C$1:$C$1001,,0)=0,"",_xlfn.XLOOKUP(C820,customers!$A$1:$A$1001,customers!$C$1:$C$1001,,0))</f>
        <v/>
      </c>
      <c r="H820" s="2" t="str">
        <f>_xlfn.XLOOKUP(C820,customers!$A$1:$A$1001,customers!$G$1:$G$1001,,0)</f>
        <v>United States</v>
      </c>
      <c r="I820" t="str">
        <f>INDEX(products!$A$1:$G$49, MATCH(orders!$D820, products!$A$1:$A$49, 0), MATCH(orders!I$1, products!$A$1:$G$1, 0))</f>
        <v>Lib</v>
      </c>
      <c r="J820" t="str">
        <f>INDEX(products!$A$1:$G$49, MATCH(orders!$D820, products!$A$1:$A$49, 0), MATCH(orders!J$1, products!$A$1:$G$1, 0))</f>
        <v>L</v>
      </c>
      <c r="K820" s="5">
        <f>INDEX(products!$A$1:$G$49, MATCH(orders!$D820, products!$A$1:$A$49, 0), MATCH(orders!K$1, products!$A$1:$G$1, 0))</f>
        <v>1</v>
      </c>
      <c r="L820" s="6">
        <f>INDEX(products!$A$1:$G$49, MATCH(orders!$D820, products!$A$1:$A$49, 0), MATCH(orders!L$1, products!$A$1:$G$1, 0))</f>
        <v>15.85</v>
      </c>
      <c r="M820" s="6">
        <f t="shared" si="37"/>
        <v>79.25</v>
      </c>
      <c r="N820" t="str">
        <f t="shared" si="38"/>
        <v>Liberica</v>
      </c>
      <c r="O820" t="str">
        <f t="shared" si="36"/>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_xlfn.XLOOKUP(C821,customers!$A$2:$A$1001,customers!$B$2:$B$1001,,0)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 MATCH(orders!$D821, products!$A$1:$A$49, 0), MATCH(orders!I$1, products!$A$1:$G$1, 0))</f>
        <v>Lib</v>
      </c>
      <c r="J821" t="str">
        <f>INDEX(products!$A$1:$G$49, MATCH(orders!$D821, products!$A$1:$A$49, 0), MATCH(orders!J$1, products!$A$1:$G$1, 0))</f>
        <v>L</v>
      </c>
      <c r="K821" s="5">
        <f>INDEX(products!$A$1:$G$49, MATCH(orders!$D821, products!$A$1:$A$49, 0), MATCH(orders!K$1, products!$A$1:$G$1, 0))</f>
        <v>0.2</v>
      </c>
      <c r="L821" s="6">
        <f>INDEX(products!$A$1:$G$49, MATCH(orders!$D821, products!$A$1:$A$49, 0), MATCH(orders!L$1, products!$A$1:$G$1, 0))</f>
        <v>4.7549999999999999</v>
      </c>
      <c r="M821" s="6">
        <f t="shared" si="37"/>
        <v>4.7549999999999999</v>
      </c>
      <c r="N821" t="str">
        <f t="shared" si="38"/>
        <v>Liberica</v>
      </c>
      <c r="O821" t="str">
        <f t="shared" si="36"/>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_xlfn.XLOOKUP(C822,customers!$A$2:$A$1001,customers!$B$2:$B$1001,,0)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 MATCH(orders!$D822, products!$A$1:$A$49, 0), MATCH(orders!I$1, products!$A$1:$G$1, 0))</f>
        <v>Exc</v>
      </c>
      <c r="J822" t="str">
        <f>INDEX(products!$A$1:$G$49, MATCH(orders!$D822, products!$A$1:$A$49, 0), MATCH(orders!J$1, products!$A$1:$G$1, 0))</f>
        <v>M</v>
      </c>
      <c r="K822" s="5">
        <f>INDEX(products!$A$1:$G$49, MATCH(orders!$D822, products!$A$1:$A$49, 0), MATCH(orders!K$1, products!$A$1:$G$1, 0))</f>
        <v>1</v>
      </c>
      <c r="L822" s="6">
        <f>INDEX(products!$A$1:$G$49, MATCH(orders!$D822, products!$A$1:$A$49, 0), MATCH(orders!L$1, products!$A$1:$G$1, 0))</f>
        <v>13.75</v>
      </c>
      <c r="M822" s="6">
        <f t="shared" si="37"/>
        <v>55</v>
      </c>
      <c r="N822" t="str">
        <f t="shared" si="38"/>
        <v>Excelsa</v>
      </c>
      <c r="O822" t="str">
        <f t="shared" si="36"/>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_xlfn.XLOOKUP(C823,customers!$A$2:$A$1001,customers!$B$2:$B$1001,,0)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 MATCH(orders!$D823, products!$A$1:$A$49, 0), MATCH(orders!I$1, products!$A$1:$G$1, 0))</f>
        <v>Rob</v>
      </c>
      <c r="J823" t="str">
        <f>INDEX(products!$A$1:$G$49, MATCH(orders!$D823, products!$A$1:$A$49, 0), MATCH(orders!J$1, products!$A$1:$G$1, 0))</f>
        <v>D</v>
      </c>
      <c r="K823" s="5">
        <f>INDEX(products!$A$1:$G$49, MATCH(orders!$D823, products!$A$1:$A$49, 0), MATCH(orders!K$1, products!$A$1:$G$1, 0))</f>
        <v>0.5</v>
      </c>
      <c r="L823" s="6">
        <f>INDEX(products!$A$1:$G$49, MATCH(orders!$D823, products!$A$1:$A$49, 0), MATCH(orders!L$1, products!$A$1:$G$1, 0))</f>
        <v>5.3699999999999992</v>
      </c>
      <c r="M823" s="6">
        <f t="shared" si="37"/>
        <v>26.849999999999994</v>
      </c>
      <c r="N823" t="str">
        <f t="shared" si="38"/>
        <v>Robusta</v>
      </c>
      <c r="O823" t="str">
        <f t="shared" si="36"/>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_xlfn.XLOOKUP(C824,customers!$A$2:$A$1001,customers!$B$2:$B$1001,,0)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 MATCH(orders!$D824, products!$A$1:$A$49, 0), MATCH(orders!I$1, products!$A$1:$G$1, 0))</f>
        <v>Exc</v>
      </c>
      <c r="J824" t="str">
        <f>INDEX(products!$A$1:$G$49, MATCH(orders!$D824, products!$A$1:$A$49, 0), MATCH(orders!J$1, products!$A$1:$G$1, 0))</f>
        <v>L</v>
      </c>
      <c r="K824" s="5">
        <f>INDEX(products!$A$1:$G$49, MATCH(orders!$D824, products!$A$1:$A$49, 0), MATCH(orders!K$1, products!$A$1:$G$1, 0))</f>
        <v>2.5</v>
      </c>
      <c r="L824" s="6">
        <f>INDEX(products!$A$1:$G$49, MATCH(orders!$D824, products!$A$1:$A$49, 0), MATCH(orders!L$1, products!$A$1:$G$1, 0))</f>
        <v>34.154999999999994</v>
      </c>
      <c r="M824" s="6">
        <f t="shared" si="37"/>
        <v>136.61999999999998</v>
      </c>
      <c r="N824" t="str">
        <f t="shared" si="38"/>
        <v>Excelsa</v>
      </c>
      <c r="O824" t="str">
        <f t="shared" si="36"/>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_xlfn.XLOOKUP(C825,customers!$A$2:$A$1001,customers!$B$2:$B$1001,,0)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 MATCH(orders!$D825, products!$A$1:$A$49, 0), MATCH(orders!I$1, products!$A$1:$G$1, 0))</f>
        <v>Lib</v>
      </c>
      <c r="J825" t="str">
        <f>INDEX(products!$A$1:$G$49, MATCH(orders!$D825, products!$A$1:$A$49, 0), MATCH(orders!J$1, products!$A$1:$G$1, 0))</f>
        <v>L</v>
      </c>
      <c r="K825" s="5">
        <f>INDEX(products!$A$1:$G$49, MATCH(orders!$D825, products!$A$1:$A$49, 0), MATCH(orders!K$1, products!$A$1:$G$1, 0))</f>
        <v>1</v>
      </c>
      <c r="L825" s="6">
        <f>INDEX(products!$A$1:$G$49, MATCH(orders!$D825, products!$A$1:$A$49, 0), MATCH(orders!L$1, products!$A$1:$G$1, 0))</f>
        <v>15.85</v>
      </c>
      <c r="M825" s="6">
        <f t="shared" si="37"/>
        <v>47.55</v>
      </c>
      <c r="N825" t="str">
        <f t="shared" si="38"/>
        <v>Liberica</v>
      </c>
      <c r="O825" t="str">
        <f t="shared" si="36"/>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_xlfn.XLOOKUP(C826,customers!$A$2:$A$1001,customers!$B$2:$B$1001,,0)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 MATCH(orders!$D826, products!$A$1:$A$49, 0), MATCH(orders!I$1, products!$A$1:$G$1, 0))</f>
        <v>Ara</v>
      </c>
      <c r="J826" t="str">
        <f>INDEX(products!$A$1:$G$49, MATCH(orders!$D826, products!$A$1:$A$49, 0), MATCH(orders!J$1, products!$A$1:$G$1, 0))</f>
        <v>M</v>
      </c>
      <c r="K826" s="5">
        <f>INDEX(products!$A$1:$G$49, MATCH(orders!$D826, products!$A$1:$A$49, 0), MATCH(orders!K$1, products!$A$1:$G$1, 0))</f>
        <v>0.2</v>
      </c>
      <c r="L826" s="6">
        <f>INDEX(products!$A$1:$G$49, MATCH(orders!$D826, products!$A$1:$A$49, 0), MATCH(orders!L$1, products!$A$1:$G$1, 0))</f>
        <v>3.375</v>
      </c>
      <c r="M826" s="6">
        <f t="shared" si="37"/>
        <v>16.875</v>
      </c>
      <c r="N826" t="str">
        <f t="shared" si="38"/>
        <v>Arabica</v>
      </c>
      <c r="O826" t="str">
        <f t="shared" si="36"/>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_xlfn.XLOOKUP(C827,customers!$A$2:$A$1001,customers!$B$2:$B$1001,,0)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 MATCH(orders!$D827, products!$A$1:$A$49, 0), MATCH(orders!I$1, products!$A$1:$G$1, 0))</f>
        <v>Ara</v>
      </c>
      <c r="J827" t="str">
        <f>INDEX(products!$A$1:$G$49, MATCH(orders!$D827, products!$A$1:$A$49, 0), MATCH(orders!J$1, products!$A$1:$G$1, 0))</f>
        <v>D</v>
      </c>
      <c r="K827" s="5">
        <f>INDEX(products!$A$1:$G$49, MATCH(orders!$D827, products!$A$1:$A$49, 0), MATCH(orders!K$1, products!$A$1:$G$1, 0))</f>
        <v>1</v>
      </c>
      <c r="L827" s="6">
        <f>INDEX(products!$A$1:$G$49, MATCH(orders!$D827, products!$A$1:$A$49, 0), MATCH(orders!L$1, products!$A$1:$G$1, 0))</f>
        <v>9.9499999999999993</v>
      </c>
      <c r="M827" s="6">
        <f t="shared" si="37"/>
        <v>29.849999999999998</v>
      </c>
      <c r="N827" t="str">
        <f t="shared" si="38"/>
        <v>Arabica</v>
      </c>
      <c r="O827" t="str">
        <f t="shared" si="36"/>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_xlfn.XLOOKUP(C828,customers!$A$2:$A$1001,customers!$B$2:$B$1001,,0)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 MATCH(orders!$D828, products!$A$1:$A$49, 0), MATCH(orders!I$1, products!$A$1:$G$1, 0))</f>
        <v>Exc</v>
      </c>
      <c r="J828" t="str">
        <f>INDEX(products!$A$1:$G$49, MATCH(orders!$D828, products!$A$1:$A$49, 0), MATCH(orders!J$1, products!$A$1:$G$1, 0))</f>
        <v>M</v>
      </c>
      <c r="K828" s="5">
        <f>INDEX(products!$A$1:$G$49, MATCH(orders!$D828, products!$A$1:$A$49, 0), MATCH(orders!K$1, products!$A$1:$G$1, 0))</f>
        <v>0.5</v>
      </c>
      <c r="L828" s="6">
        <f>INDEX(products!$A$1:$G$49, MATCH(orders!$D828, products!$A$1:$A$49, 0), MATCH(orders!L$1, products!$A$1:$G$1, 0))</f>
        <v>8.25</v>
      </c>
      <c r="M828" s="6">
        <f t="shared" si="37"/>
        <v>41.25</v>
      </c>
      <c r="N828" t="str">
        <f t="shared" si="38"/>
        <v>Excelsa</v>
      </c>
      <c r="O828" t="str">
        <f t="shared" si="36"/>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_xlfn.XLOOKUP(C829,customers!$A$2:$A$1001,customers!$B$2:$B$1001,,0)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 MATCH(orders!$D829, products!$A$1:$A$49, 0), MATCH(orders!I$1, products!$A$1:$G$1, 0))</f>
        <v>Exc</v>
      </c>
      <c r="J829" t="str">
        <f>INDEX(products!$A$1:$G$49, MATCH(orders!$D829, products!$A$1:$A$49, 0), MATCH(orders!J$1, products!$A$1:$G$1, 0))</f>
        <v>M</v>
      </c>
      <c r="K829" s="5">
        <f>INDEX(products!$A$1:$G$49, MATCH(orders!$D829, products!$A$1:$A$49, 0), MATCH(orders!K$1, products!$A$1:$G$1, 0))</f>
        <v>0.2</v>
      </c>
      <c r="L829" s="6">
        <f>INDEX(products!$A$1:$G$49, MATCH(orders!$D829, products!$A$1:$A$49, 0), MATCH(orders!L$1, products!$A$1:$G$1, 0))</f>
        <v>4.125</v>
      </c>
      <c r="M829" s="6">
        <f t="shared" si="37"/>
        <v>20.625</v>
      </c>
      <c r="N829" t="str">
        <f t="shared" si="38"/>
        <v>Excelsa</v>
      </c>
      <c r="O829" t="str">
        <f t="shared" si="36"/>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_xlfn.XLOOKUP(C830,customers!$A$2:$A$1001,customers!$B$2:$B$1001,,0)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 MATCH(orders!$D830, products!$A$1:$A$49, 0), MATCH(orders!I$1, products!$A$1:$G$1, 0))</f>
        <v>Ara</v>
      </c>
      <c r="J830" t="str">
        <f>INDEX(products!$A$1:$G$49, MATCH(orders!$D830, products!$A$1:$A$49, 0), MATCH(orders!J$1, products!$A$1:$G$1, 0))</f>
        <v>D</v>
      </c>
      <c r="K830" s="5">
        <f>INDEX(products!$A$1:$G$49, MATCH(orders!$D830, products!$A$1:$A$49, 0), MATCH(orders!K$1, products!$A$1:$G$1, 0))</f>
        <v>2.5</v>
      </c>
      <c r="L830" s="6">
        <f>INDEX(products!$A$1:$G$49, MATCH(orders!$D830, products!$A$1:$A$49, 0), MATCH(orders!L$1, products!$A$1:$G$1, 0))</f>
        <v>22.884999999999998</v>
      </c>
      <c r="M830" s="6">
        <f t="shared" si="37"/>
        <v>137.31</v>
      </c>
      <c r="N830" t="str">
        <f t="shared" si="38"/>
        <v>Arabica</v>
      </c>
      <c r="O830" t="str">
        <f t="shared" si="36"/>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_xlfn.XLOOKUP(C831,customers!$A$2:$A$1001,customers!$B$2:$B$1001,,0)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 MATCH(orders!$D831, products!$A$1:$A$49, 0), MATCH(orders!I$1, products!$A$1:$G$1, 0))</f>
        <v>Ara</v>
      </c>
      <c r="J831" t="str">
        <f>INDEX(products!$A$1:$G$49, MATCH(orders!$D831, products!$A$1:$A$49, 0), MATCH(orders!J$1, products!$A$1:$G$1, 0))</f>
        <v>D</v>
      </c>
      <c r="K831" s="5">
        <f>INDEX(products!$A$1:$G$49, MATCH(orders!$D831, products!$A$1:$A$49, 0), MATCH(orders!K$1, products!$A$1:$G$1, 0))</f>
        <v>0.2</v>
      </c>
      <c r="L831" s="6">
        <f>INDEX(products!$A$1:$G$49, MATCH(orders!$D831, products!$A$1:$A$49, 0), MATCH(orders!L$1, products!$A$1:$G$1, 0))</f>
        <v>2.9849999999999999</v>
      </c>
      <c r="M831" s="6">
        <f t="shared" si="37"/>
        <v>2.9849999999999999</v>
      </c>
      <c r="N831" t="str">
        <f t="shared" si="38"/>
        <v>Arabica</v>
      </c>
      <c r="O831" t="str">
        <f t="shared" si="36"/>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_xlfn.XLOOKUP(C832,customers!$A$2:$A$1001,customers!$B$2:$B$1001,,0)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 MATCH(orders!$D832, products!$A$1:$A$49, 0), MATCH(orders!I$1, products!$A$1:$G$1, 0))</f>
        <v>Exc</v>
      </c>
      <c r="J832" t="str">
        <f>INDEX(products!$A$1:$G$49, MATCH(orders!$D832, products!$A$1:$A$49, 0), MATCH(orders!J$1, products!$A$1:$G$1, 0))</f>
        <v>M</v>
      </c>
      <c r="K832" s="5">
        <f>INDEX(products!$A$1:$G$49, MATCH(orders!$D832, products!$A$1:$A$49, 0), MATCH(orders!K$1, products!$A$1:$G$1, 0))</f>
        <v>1</v>
      </c>
      <c r="L832" s="6">
        <f>INDEX(products!$A$1:$G$49, MATCH(orders!$D832, products!$A$1:$A$49, 0), MATCH(orders!L$1, products!$A$1:$G$1, 0))</f>
        <v>13.75</v>
      </c>
      <c r="M832" s="6">
        <f t="shared" si="37"/>
        <v>27.5</v>
      </c>
      <c r="N832" t="str">
        <f t="shared" si="38"/>
        <v>Excelsa</v>
      </c>
      <c r="O832" t="str">
        <f t="shared" si="36"/>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_xlfn.XLOOKUP(C833,customers!$A$2:$A$1001,customers!$B$2:$B$1001,,0)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 MATCH(orders!$D833, products!$A$1:$A$49, 0), MATCH(orders!I$1, products!$A$1:$G$1, 0))</f>
        <v>Ara</v>
      </c>
      <c r="J833" t="str">
        <f>INDEX(products!$A$1:$G$49, MATCH(orders!$D833, products!$A$1:$A$49, 0), MATCH(orders!J$1, products!$A$1:$G$1, 0))</f>
        <v>D</v>
      </c>
      <c r="K833" s="5">
        <f>INDEX(products!$A$1:$G$49, MATCH(orders!$D833, products!$A$1:$A$49, 0), MATCH(orders!K$1, products!$A$1:$G$1, 0))</f>
        <v>0.2</v>
      </c>
      <c r="L833" s="6">
        <f>INDEX(products!$A$1:$G$49, MATCH(orders!$D833, products!$A$1:$A$49, 0), MATCH(orders!L$1, products!$A$1:$G$1, 0))</f>
        <v>2.9849999999999999</v>
      </c>
      <c r="M833" s="6">
        <f t="shared" si="37"/>
        <v>5.97</v>
      </c>
      <c r="N833" t="str">
        <f t="shared" si="38"/>
        <v>Arabica</v>
      </c>
      <c r="O833" t="str">
        <f t="shared" si="36"/>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_xlfn.XLOOKUP(C834,customers!$A$2:$A$1001,customers!$B$2:$B$1001,,0)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 MATCH(orders!$D834, products!$A$1:$A$49, 0), MATCH(orders!I$1, products!$A$1:$G$1, 0))</f>
        <v>Rob</v>
      </c>
      <c r="J834" t="str">
        <f>INDEX(products!$A$1:$G$49, MATCH(orders!$D834, products!$A$1:$A$49, 0), MATCH(orders!J$1, products!$A$1:$G$1, 0))</f>
        <v>M</v>
      </c>
      <c r="K834" s="5">
        <f>INDEX(products!$A$1:$G$49, MATCH(orders!$D834, products!$A$1:$A$49, 0), MATCH(orders!K$1, products!$A$1:$G$1, 0))</f>
        <v>1</v>
      </c>
      <c r="L834" s="6">
        <f>INDEX(products!$A$1:$G$49, MATCH(orders!$D834, products!$A$1:$A$49, 0), MATCH(orders!L$1, products!$A$1:$G$1, 0))</f>
        <v>9.9499999999999993</v>
      </c>
      <c r="M834" s="6">
        <f t="shared" si="37"/>
        <v>59.699999999999996</v>
      </c>
      <c r="N834" t="str">
        <f t="shared" si="38"/>
        <v>Robusta</v>
      </c>
      <c r="O834" t="str">
        <f t="shared" ref="O834:O897" si="39">IF(J834="M","Medium",IF(J834="l","Light",IF(J834="d","Dark","")))</f>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_xlfn.XLOOKUP(C835,customers!$A$2:$A$1001,customers!$B$2:$B$1001,,0)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 MATCH(orders!$D835, products!$A$1:$A$49, 0), MATCH(orders!I$1, products!$A$1:$G$1, 0))</f>
        <v>Rob</v>
      </c>
      <c r="J835" t="str">
        <f>INDEX(products!$A$1:$G$49, MATCH(orders!$D835, products!$A$1:$A$49, 0), MATCH(orders!J$1, products!$A$1:$G$1, 0))</f>
        <v>D</v>
      </c>
      <c r="K835" s="5">
        <f>INDEX(products!$A$1:$G$49, MATCH(orders!$D835, products!$A$1:$A$49, 0), MATCH(orders!K$1, products!$A$1:$G$1, 0))</f>
        <v>2.5</v>
      </c>
      <c r="L835" s="6">
        <f>INDEX(products!$A$1:$G$49, MATCH(orders!$D835, products!$A$1:$A$49, 0), MATCH(orders!L$1, products!$A$1:$G$1, 0))</f>
        <v>20.584999999999997</v>
      </c>
      <c r="M835" s="6">
        <f t="shared" ref="M835:M898" si="40">L835*E835</f>
        <v>82.339999999999989</v>
      </c>
      <c r="N835" t="str">
        <f t="shared" ref="N835:N898" si="41">IF(I835="Rob","Robusta",IF(I835="Exc","Excelsa",IF(I835="Ara","Arabica",IF(I835="lib","Liberica",""))))</f>
        <v>Robusta</v>
      </c>
      <c r="O835" t="str">
        <f t="shared" si="39"/>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_xlfn.XLOOKUP(C836,customers!$A$2:$A$1001,customers!$B$2:$B$1001,,0)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 MATCH(orders!$D836, products!$A$1:$A$49, 0), MATCH(orders!I$1, products!$A$1:$G$1, 0))</f>
        <v>Ara</v>
      </c>
      <c r="J836" t="str">
        <f>INDEX(products!$A$1:$G$49, MATCH(orders!$D836, products!$A$1:$A$49, 0), MATCH(orders!J$1, products!$A$1:$G$1, 0))</f>
        <v>D</v>
      </c>
      <c r="K836" s="5">
        <f>INDEX(products!$A$1:$G$49, MATCH(orders!$D836, products!$A$1:$A$49, 0), MATCH(orders!K$1, products!$A$1:$G$1, 0))</f>
        <v>2.5</v>
      </c>
      <c r="L836" s="6">
        <f>INDEX(products!$A$1:$G$49, MATCH(orders!$D836, products!$A$1:$A$49, 0), MATCH(orders!L$1, products!$A$1:$G$1, 0))</f>
        <v>22.884999999999998</v>
      </c>
      <c r="M836" s="6">
        <f t="shared" si="40"/>
        <v>22.884999999999998</v>
      </c>
      <c r="N836" t="str">
        <f t="shared" si="41"/>
        <v>Arabica</v>
      </c>
      <c r="O836" t="str">
        <f t="shared" si="39"/>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_xlfn.XLOOKUP(C837,customers!$A$2:$A$1001,customers!$B$2:$B$1001,,0)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 MATCH(orders!$D837, products!$A$1:$A$49, 0), MATCH(orders!I$1, products!$A$1:$G$1, 0))</f>
        <v>Exc</v>
      </c>
      <c r="J837" t="str">
        <f>INDEX(products!$A$1:$G$49, MATCH(orders!$D837, products!$A$1:$A$49, 0), MATCH(orders!J$1, products!$A$1:$G$1, 0))</f>
        <v>L</v>
      </c>
      <c r="K837" s="5">
        <f>INDEX(products!$A$1:$G$49, MATCH(orders!$D837, products!$A$1:$A$49, 0), MATCH(orders!K$1, products!$A$1:$G$1, 0))</f>
        <v>0.5</v>
      </c>
      <c r="L837" s="6">
        <f>INDEX(products!$A$1:$G$49, MATCH(orders!$D837, products!$A$1:$A$49, 0), MATCH(orders!L$1, products!$A$1:$G$1, 0))</f>
        <v>8.91</v>
      </c>
      <c r="M837" s="6">
        <f t="shared" si="40"/>
        <v>8.91</v>
      </c>
      <c r="N837" t="str">
        <f t="shared" si="41"/>
        <v>Excelsa</v>
      </c>
      <c r="O837" t="str">
        <f t="shared" si="39"/>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_xlfn.XLOOKUP(C838,customers!$A$2:$A$1001,customers!$B$2:$B$1001,,0)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 MATCH(orders!$D838, products!$A$1:$A$49, 0), MATCH(orders!I$1, products!$A$1:$G$1, 0))</f>
        <v>Ara</v>
      </c>
      <c r="J838" t="str">
        <f>INDEX(products!$A$1:$G$49, MATCH(orders!$D838, products!$A$1:$A$49, 0), MATCH(orders!J$1, products!$A$1:$G$1, 0))</f>
        <v>D</v>
      </c>
      <c r="K838" s="5">
        <f>INDEX(products!$A$1:$G$49, MATCH(orders!$D838, products!$A$1:$A$49, 0), MATCH(orders!K$1, products!$A$1:$G$1, 0))</f>
        <v>0.2</v>
      </c>
      <c r="L838" s="6">
        <f>INDEX(products!$A$1:$G$49, MATCH(orders!$D838, products!$A$1:$A$49, 0), MATCH(orders!L$1, products!$A$1:$G$1, 0))</f>
        <v>2.9849999999999999</v>
      </c>
      <c r="M838" s="6">
        <f t="shared" si="40"/>
        <v>11.94</v>
      </c>
      <c r="N838" t="str">
        <f t="shared" si="41"/>
        <v>Arabica</v>
      </c>
      <c r="O838" t="str">
        <f t="shared" si="39"/>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_xlfn.XLOOKUP(C839,customers!$A$2:$A$1001,customers!$B$2:$B$1001,,0)</f>
        <v>Allis Wilmore</v>
      </c>
      <c r="G839" s="2" t="str">
        <f>IF(_xlfn.XLOOKUP(C839,customers!$A$1:$A$1001,customers!$C$1:$C$1001,,0)=0,"",_xlfn.XLOOKUP(C839,customers!$A$1:$A$1001,customers!$C$1:$C$1001,,0))</f>
        <v/>
      </c>
      <c r="H839" s="2" t="str">
        <f>_xlfn.XLOOKUP(C839,customers!$A$1:$A$1001,customers!$G$1:$G$1001,,0)</f>
        <v>United States</v>
      </c>
      <c r="I839" t="str">
        <f>INDEX(products!$A$1:$G$49, MATCH(orders!$D839, products!$A$1:$A$49, 0), MATCH(orders!I$1, products!$A$1:$G$1, 0))</f>
        <v>Lib</v>
      </c>
      <c r="J839" t="str">
        <f>INDEX(products!$A$1:$G$49, MATCH(orders!$D839, products!$A$1:$A$49, 0), MATCH(orders!J$1, products!$A$1:$G$1, 0))</f>
        <v>M</v>
      </c>
      <c r="K839" s="5">
        <f>INDEX(products!$A$1:$G$49, MATCH(orders!$D839, products!$A$1:$A$49, 0), MATCH(orders!K$1, products!$A$1:$G$1, 0))</f>
        <v>2.5</v>
      </c>
      <c r="L839" s="6">
        <f>INDEX(products!$A$1:$G$49, MATCH(orders!$D839, products!$A$1:$A$49, 0), MATCH(orders!L$1, products!$A$1:$G$1, 0))</f>
        <v>33.464999999999996</v>
      </c>
      <c r="M839" s="6">
        <f t="shared" si="40"/>
        <v>100.39499999999998</v>
      </c>
      <c r="N839" t="str">
        <f t="shared" si="41"/>
        <v>Liberica</v>
      </c>
      <c r="O839" t="str">
        <f t="shared" si="39"/>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_xlfn.XLOOKUP(C840,customers!$A$2:$A$1001,customers!$B$2:$B$1001,,0)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 MATCH(orders!$D840, products!$A$1:$A$49, 0), MATCH(orders!I$1, products!$A$1:$G$1, 0))</f>
        <v>Ara</v>
      </c>
      <c r="J840" t="str">
        <f>INDEX(products!$A$1:$G$49, MATCH(orders!$D840, products!$A$1:$A$49, 0), MATCH(orders!J$1, products!$A$1:$G$1, 0))</f>
        <v>D</v>
      </c>
      <c r="K840" s="5">
        <f>INDEX(products!$A$1:$G$49, MATCH(orders!$D840, products!$A$1:$A$49, 0), MATCH(orders!K$1, products!$A$1:$G$1, 0))</f>
        <v>2.5</v>
      </c>
      <c r="L840" s="6">
        <f>INDEX(products!$A$1:$G$49, MATCH(orders!$D840, products!$A$1:$A$49, 0), MATCH(orders!L$1, products!$A$1:$G$1, 0))</f>
        <v>22.884999999999998</v>
      </c>
      <c r="M840" s="6">
        <f t="shared" si="40"/>
        <v>114.42499999999998</v>
      </c>
      <c r="N840" t="str">
        <f t="shared" si="41"/>
        <v>Arabica</v>
      </c>
      <c r="O840" t="str">
        <f t="shared" si="39"/>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_xlfn.XLOOKUP(C841,customers!$A$2:$A$1001,customers!$B$2:$B$1001,,0)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 MATCH(orders!$D841, products!$A$1:$A$49, 0), MATCH(orders!I$1, products!$A$1:$G$1, 0))</f>
        <v>Exc</v>
      </c>
      <c r="J841" t="str">
        <f>INDEX(products!$A$1:$G$49, MATCH(orders!$D841, products!$A$1:$A$49, 0), MATCH(orders!J$1, products!$A$1:$G$1, 0))</f>
        <v>M</v>
      </c>
      <c r="K841" s="5">
        <f>INDEX(products!$A$1:$G$49, MATCH(orders!$D841, products!$A$1:$A$49, 0), MATCH(orders!K$1, products!$A$1:$G$1, 0))</f>
        <v>0.5</v>
      </c>
      <c r="L841" s="6">
        <f>INDEX(products!$A$1:$G$49, MATCH(orders!$D841, products!$A$1:$A$49, 0), MATCH(orders!L$1, products!$A$1:$G$1, 0))</f>
        <v>8.25</v>
      </c>
      <c r="M841" s="6">
        <f t="shared" si="40"/>
        <v>41.25</v>
      </c>
      <c r="N841" t="str">
        <f t="shared" si="41"/>
        <v>Excelsa</v>
      </c>
      <c r="O841" t="str">
        <f t="shared" si="39"/>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_xlfn.XLOOKUP(C842,customers!$A$2:$A$1001,customers!$B$2:$B$1001,,0)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 MATCH(orders!$D842, products!$A$1:$A$49, 0), MATCH(orders!I$1, products!$A$1:$G$1, 0))</f>
        <v>Rob</v>
      </c>
      <c r="J842" t="str">
        <f>INDEX(products!$A$1:$G$49, MATCH(orders!$D842, products!$A$1:$A$49, 0), MATCH(orders!J$1, products!$A$1:$G$1, 0))</f>
        <v>L</v>
      </c>
      <c r="K842" s="5">
        <f>INDEX(products!$A$1:$G$49, MATCH(orders!$D842, products!$A$1:$A$49, 0), MATCH(orders!K$1, products!$A$1:$G$1, 0))</f>
        <v>0.5</v>
      </c>
      <c r="L842" s="6">
        <f>INDEX(products!$A$1:$G$49, MATCH(orders!$D842, products!$A$1:$A$49, 0), MATCH(orders!L$1, products!$A$1:$G$1, 0))</f>
        <v>7.169999999999999</v>
      </c>
      <c r="M842" s="6">
        <f t="shared" si="40"/>
        <v>28.679999999999996</v>
      </c>
      <c r="N842" t="str">
        <f t="shared" si="41"/>
        <v>Robusta</v>
      </c>
      <c r="O842" t="str">
        <f t="shared" si="39"/>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_xlfn.XLOOKUP(C843,customers!$A$2:$A$1001,customers!$B$2:$B$1001,,0)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 MATCH(orders!$D843, products!$A$1:$A$49, 0), MATCH(orders!I$1, products!$A$1:$G$1, 0))</f>
        <v>Lib</v>
      </c>
      <c r="J843" t="str">
        <f>INDEX(products!$A$1:$G$49, MATCH(orders!$D843, products!$A$1:$A$49, 0), MATCH(orders!J$1, products!$A$1:$G$1, 0))</f>
        <v>M</v>
      </c>
      <c r="K843" s="5">
        <f>INDEX(products!$A$1:$G$49, MATCH(orders!$D843, products!$A$1:$A$49, 0), MATCH(orders!K$1, products!$A$1:$G$1, 0))</f>
        <v>0.2</v>
      </c>
      <c r="L843" s="6">
        <f>INDEX(products!$A$1:$G$49, MATCH(orders!$D843, products!$A$1:$A$49, 0), MATCH(orders!L$1, products!$A$1:$G$1, 0))</f>
        <v>4.3650000000000002</v>
      </c>
      <c r="M843" s="6">
        <f t="shared" si="40"/>
        <v>4.3650000000000002</v>
      </c>
      <c r="N843" t="str">
        <f t="shared" si="41"/>
        <v>Liberica</v>
      </c>
      <c r="O843" t="str">
        <f t="shared" si="39"/>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_xlfn.XLOOKUP(C844,customers!$A$2:$A$1001,customers!$B$2:$B$1001,,0)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 MATCH(orders!$D844, products!$A$1:$A$49, 0), MATCH(orders!I$1, products!$A$1:$G$1, 0))</f>
        <v>Exc</v>
      </c>
      <c r="J844" t="str">
        <f>INDEX(products!$A$1:$G$49, MATCH(orders!$D844, products!$A$1:$A$49, 0), MATCH(orders!J$1, products!$A$1:$G$1, 0))</f>
        <v>M</v>
      </c>
      <c r="K844" s="5">
        <f>INDEX(products!$A$1:$G$49, MATCH(orders!$D844, products!$A$1:$A$49, 0), MATCH(orders!K$1, products!$A$1:$G$1, 0))</f>
        <v>0.2</v>
      </c>
      <c r="L844" s="6">
        <f>INDEX(products!$A$1:$G$49, MATCH(orders!$D844, products!$A$1:$A$49, 0), MATCH(orders!L$1, products!$A$1:$G$1, 0))</f>
        <v>4.125</v>
      </c>
      <c r="M844" s="6">
        <f t="shared" si="40"/>
        <v>8.25</v>
      </c>
      <c r="N844" t="str">
        <f t="shared" si="41"/>
        <v>Excelsa</v>
      </c>
      <c r="O844" t="str">
        <f t="shared" si="39"/>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_xlfn.XLOOKUP(C845,customers!$A$2:$A$1001,customers!$B$2:$B$1001,,0)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 MATCH(orders!$D845, products!$A$1:$A$49, 0), MATCH(orders!I$1, products!$A$1:$G$1, 0))</f>
        <v>Exc</v>
      </c>
      <c r="J845" t="str">
        <f>INDEX(products!$A$1:$G$49, MATCH(orders!$D845, products!$A$1:$A$49, 0), MATCH(orders!J$1, products!$A$1:$G$1, 0))</f>
        <v>M</v>
      </c>
      <c r="K845" s="5">
        <f>INDEX(products!$A$1:$G$49, MATCH(orders!$D845, products!$A$1:$A$49, 0), MATCH(orders!K$1, products!$A$1:$G$1, 0))</f>
        <v>0.2</v>
      </c>
      <c r="L845" s="6">
        <f>INDEX(products!$A$1:$G$49, MATCH(orders!$D845, products!$A$1:$A$49, 0), MATCH(orders!L$1, products!$A$1:$G$1, 0))</f>
        <v>4.125</v>
      </c>
      <c r="M845" s="6">
        <f t="shared" si="40"/>
        <v>8.25</v>
      </c>
      <c r="N845" t="str">
        <f t="shared" si="41"/>
        <v>Excelsa</v>
      </c>
      <c r="O845" t="str">
        <f t="shared" si="39"/>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_xlfn.XLOOKUP(C846,customers!$A$2:$A$1001,customers!$B$2:$B$1001,,0)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 MATCH(orders!$D846, products!$A$1:$A$49, 0), MATCH(orders!I$1, products!$A$1:$G$1, 0))</f>
        <v>Ara</v>
      </c>
      <c r="J846" t="str">
        <f>INDEX(products!$A$1:$G$49, MATCH(orders!$D846, products!$A$1:$A$49, 0), MATCH(orders!J$1, products!$A$1:$G$1, 0))</f>
        <v>D</v>
      </c>
      <c r="K846" s="5">
        <f>INDEX(products!$A$1:$G$49, MATCH(orders!$D846, products!$A$1:$A$49, 0), MATCH(orders!K$1, products!$A$1:$G$1, 0))</f>
        <v>0.5</v>
      </c>
      <c r="L846" s="6">
        <f>INDEX(products!$A$1:$G$49, MATCH(orders!$D846, products!$A$1:$A$49, 0), MATCH(orders!L$1, products!$A$1:$G$1, 0))</f>
        <v>5.97</v>
      </c>
      <c r="M846" s="6">
        <f t="shared" si="40"/>
        <v>35.82</v>
      </c>
      <c r="N846" t="str">
        <f t="shared" si="41"/>
        <v>Arabica</v>
      </c>
      <c r="O846" t="str">
        <f t="shared" si="39"/>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_xlfn.XLOOKUP(C847,customers!$A$2:$A$1001,customers!$B$2:$B$1001,,0)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 MATCH(orders!$D847, products!$A$1:$A$49, 0), MATCH(orders!I$1, products!$A$1:$G$1, 0))</f>
        <v>Exc</v>
      </c>
      <c r="J847" t="str">
        <f>INDEX(products!$A$1:$G$49, MATCH(orders!$D847, products!$A$1:$A$49, 0), MATCH(orders!J$1, products!$A$1:$G$1, 0))</f>
        <v>D</v>
      </c>
      <c r="K847" s="5">
        <f>INDEX(products!$A$1:$G$49, MATCH(orders!$D847, products!$A$1:$A$49, 0), MATCH(orders!K$1, products!$A$1:$G$1, 0))</f>
        <v>2.5</v>
      </c>
      <c r="L847" s="6">
        <f>INDEX(products!$A$1:$G$49, MATCH(orders!$D847, products!$A$1:$A$49, 0), MATCH(orders!L$1, products!$A$1:$G$1, 0))</f>
        <v>27.945</v>
      </c>
      <c r="M847" s="6">
        <f t="shared" si="40"/>
        <v>167.67000000000002</v>
      </c>
      <c r="N847" t="str">
        <f t="shared" si="41"/>
        <v>Excelsa</v>
      </c>
      <c r="O847" t="str">
        <f t="shared" si="39"/>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_xlfn.XLOOKUP(C848,customers!$A$2:$A$1001,customers!$B$2:$B$1001,,0)</f>
        <v>Edin Mathe</v>
      </c>
      <c r="G848" s="2" t="str">
        <f>IF(_xlfn.XLOOKUP(C848,customers!$A$1:$A$1001,customers!$C$1:$C$1001,,0)=0,"",_xlfn.XLOOKUP(C848,customers!$A$1:$A$1001,customers!$C$1:$C$1001,,0))</f>
        <v/>
      </c>
      <c r="H848" s="2" t="str">
        <f>_xlfn.XLOOKUP(C848,customers!$A$1:$A$1001,customers!$G$1:$G$1001,,0)</f>
        <v>United States</v>
      </c>
      <c r="I848" t="str">
        <f>INDEX(products!$A$1:$G$49, MATCH(orders!$D848, products!$A$1:$A$49, 0), MATCH(orders!I$1, products!$A$1:$G$1, 0))</f>
        <v>Ara</v>
      </c>
      <c r="J848" t="str">
        <f>INDEX(products!$A$1:$G$49, MATCH(orders!$D848, products!$A$1:$A$49, 0), MATCH(orders!J$1, products!$A$1:$G$1, 0))</f>
        <v>M</v>
      </c>
      <c r="K848" s="5">
        <f>INDEX(products!$A$1:$G$49, MATCH(orders!$D848, products!$A$1:$A$49, 0), MATCH(orders!K$1, products!$A$1:$G$1, 0))</f>
        <v>2.5</v>
      </c>
      <c r="L848" s="6">
        <f>INDEX(products!$A$1:$G$49, MATCH(orders!$D848, products!$A$1:$A$49, 0), MATCH(orders!L$1, products!$A$1:$G$1, 0))</f>
        <v>25.874999999999996</v>
      </c>
      <c r="M848" s="6">
        <f t="shared" si="40"/>
        <v>51.749999999999993</v>
      </c>
      <c r="N848" t="str">
        <f t="shared" si="41"/>
        <v>Arabica</v>
      </c>
      <c r="O848" t="str">
        <f t="shared" si="39"/>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_xlfn.XLOOKUP(C849,customers!$A$2:$A$1001,customers!$B$2:$B$1001,,0)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 MATCH(orders!$D849, products!$A$1:$A$49, 0), MATCH(orders!I$1, products!$A$1:$G$1, 0))</f>
        <v>Ara</v>
      </c>
      <c r="J849" t="str">
        <f>INDEX(products!$A$1:$G$49, MATCH(orders!$D849, products!$A$1:$A$49, 0), MATCH(orders!J$1, products!$A$1:$G$1, 0))</f>
        <v>D</v>
      </c>
      <c r="K849" s="5">
        <f>INDEX(products!$A$1:$G$49, MATCH(orders!$D849, products!$A$1:$A$49, 0), MATCH(orders!K$1, products!$A$1:$G$1, 0))</f>
        <v>0.2</v>
      </c>
      <c r="L849" s="6">
        <f>INDEX(products!$A$1:$G$49, MATCH(orders!$D849, products!$A$1:$A$49, 0), MATCH(orders!L$1, products!$A$1:$G$1, 0))</f>
        <v>2.9849999999999999</v>
      </c>
      <c r="M849" s="6">
        <f t="shared" si="40"/>
        <v>8.9550000000000001</v>
      </c>
      <c r="N849" t="str">
        <f t="shared" si="41"/>
        <v>Arabica</v>
      </c>
      <c r="O849" t="str">
        <f t="shared" si="39"/>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_xlfn.XLOOKUP(C850,customers!$A$2:$A$1001,customers!$B$2:$B$1001,,0)</f>
        <v>Spencer Wastell</v>
      </c>
      <c r="G850" s="2" t="str">
        <f>IF(_xlfn.XLOOKUP(C850,customers!$A$1:$A$1001,customers!$C$1:$C$1001,,0)=0,"",_xlfn.XLOOKUP(C850,customers!$A$1:$A$1001,customers!$C$1:$C$1001,,0))</f>
        <v/>
      </c>
      <c r="H850" s="2" t="str">
        <f>_xlfn.XLOOKUP(C850,customers!$A$1:$A$1001,customers!$G$1:$G$1001,,0)</f>
        <v>United States</v>
      </c>
      <c r="I850" t="str">
        <f>INDEX(products!$A$1:$G$49, MATCH(orders!$D850, products!$A$1:$A$49, 0), MATCH(orders!I$1, products!$A$1:$G$1, 0))</f>
        <v>Exc</v>
      </c>
      <c r="J850" t="str">
        <f>INDEX(products!$A$1:$G$49, MATCH(orders!$D850, products!$A$1:$A$49, 0), MATCH(orders!J$1, products!$A$1:$G$1, 0))</f>
        <v>L</v>
      </c>
      <c r="K850" s="5">
        <f>INDEX(products!$A$1:$G$49, MATCH(orders!$D850, products!$A$1:$A$49, 0), MATCH(orders!K$1, products!$A$1:$G$1, 0))</f>
        <v>0.5</v>
      </c>
      <c r="L850" s="6">
        <f>INDEX(products!$A$1:$G$49, MATCH(orders!$D850, products!$A$1:$A$49, 0), MATCH(orders!L$1, products!$A$1:$G$1, 0))</f>
        <v>8.91</v>
      </c>
      <c r="M850" s="6">
        <f t="shared" si="40"/>
        <v>53.46</v>
      </c>
      <c r="N850" t="str">
        <f t="shared" si="41"/>
        <v>Excelsa</v>
      </c>
      <c r="O850" t="str">
        <f t="shared" si="39"/>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_xlfn.XLOOKUP(C851,customers!$A$2:$A$1001,customers!$B$2:$B$1001,,0)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 MATCH(orders!$D851, products!$A$1:$A$49, 0), MATCH(orders!I$1, products!$A$1:$G$1, 0))</f>
        <v>Ara</v>
      </c>
      <c r="J851" t="str">
        <f>INDEX(products!$A$1:$G$49, MATCH(orders!$D851, products!$A$1:$A$49, 0), MATCH(orders!J$1, products!$A$1:$G$1, 0))</f>
        <v>L</v>
      </c>
      <c r="K851" s="5">
        <f>INDEX(products!$A$1:$G$49, MATCH(orders!$D851, products!$A$1:$A$49, 0), MATCH(orders!K$1, products!$A$1:$G$1, 0))</f>
        <v>0.2</v>
      </c>
      <c r="L851" s="6">
        <f>INDEX(products!$A$1:$G$49, MATCH(orders!$D851, products!$A$1:$A$49, 0), MATCH(orders!L$1, products!$A$1:$G$1, 0))</f>
        <v>3.8849999999999998</v>
      </c>
      <c r="M851" s="6">
        <f t="shared" si="40"/>
        <v>23.31</v>
      </c>
      <c r="N851" t="str">
        <f t="shared" si="41"/>
        <v>Arabica</v>
      </c>
      <c r="O851" t="str">
        <f t="shared" si="39"/>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_xlfn.XLOOKUP(C852,customers!$A$2:$A$1001,customers!$B$2:$B$1001,,0)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 MATCH(orders!$D852, products!$A$1:$A$49, 0), MATCH(orders!I$1, products!$A$1:$G$1, 0))</f>
        <v>Ara</v>
      </c>
      <c r="J852" t="str">
        <f>INDEX(products!$A$1:$G$49, MATCH(orders!$D852, products!$A$1:$A$49, 0), MATCH(orders!J$1, products!$A$1:$G$1, 0))</f>
        <v>M</v>
      </c>
      <c r="K852" s="5">
        <f>INDEX(products!$A$1:$G$49, MATCH(orders!$D852, products!$A$1:$A$49, 0), MATCH(orders!K$1, products!$A$1:$G$1, 0))</f>
        <v>0.2</v>
      </c>
      <c r="L852" s="6">
        <f>INDEX(products!$A$1:$G$49, MATCH(orders!$D852, products!$A$1:$A$49, 0), MATCH(orders!L$1, products!$A$1:$G$1, 0))</f>
        <v>3.375</v>
      </c>
      <c r="M852" s="6">
        <f t="shared" si="40"/>
        <v>6.75</v>
      </c>
      <c r="N852" t="str">
        <f t="shared" si="41"/>
        <v>Arabica</v>
      </c>
      <c r="O852" t="str">
        <f t="shared" si="39"/>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_xlfn.XLOOKUP(C853,customers!$A$2:$A$1001,customers!$B$2:$B$1001,,0)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 MATCH(orders!$D853, products!$A$1:$A$49, 0), MATCH(orders!I$1, products!$A$1:$G$1, 0))</f>
        <v>Lib</v>
      </c>
      <c r="J853" t="str">
        <f>INDEX(products!$A$1:$G$49, MATCH(orders!$D853, products!$A$1:$A$49, 0), MATCH(orders!J$1, products!$A$1:$G$1, 0))</f>
        <v>D</v>
      </c>
      <c r="K853" s="5">
        <f>INDEX(products!$A$1:$G$49, MATCH(orders!$D853, products!$A$1:$A$49, 0), MATCH(orders!K$1, products!$A$1:$G$1, 0))</f>
        <v>0.5</v>
      </c>
      <c r="L853" s="6">
        <f>INDEX(products!$A$1:$G$49, MATCH(orders!$D853, products!$A$1:$A$49, 0), MATCH(orders!L$1, products!$A$1:$G$1, 0))</f>
        <v>7.77</v>
      </c>
      <c r="M853" s="6">
        <f t="shared" si="40"/>
        <v>7.77</v>
      </c>
      <c r="N853" t="str">
        <f t="shared" si="41"/>
        <v>Liberica</v>
      </c>
      <c r="O853" t="str">
        <f t="shared" si="39"/>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_xlfn.XLOOKUP(C854,customers!$A$2:$A$1001,customers!$B$2:$B$1001,,0)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 MATCH(orders!$D854, products!$A$1:$A$49, 0), MATCH(orders!I$1, products!$A$1:$G$1, 0))</f>
        <v>Lib</v>
      </c>
      <c r="J854" t="str">
        <f>INDEX(products!$A$1:$G$49, MATCH(orders!$D854, products!$A$1:$A$49, 0), MATCH(orders!J$1, products!$A$1:$G$1, 0))</f>
        <v>D</v>
      </c>
      <c r="K854" s="5">
        <f>INDEX(products!$A$1:$G$49, MATCH(orders!$D854, products!$A$1:$A$49, 0), MATCH(orders!K$1, products!$A$1:$G$1, 0))</f>
        <v>2.5</v>
      </c>
      <c r="L854" s="6">
        <f>INDEX(products!$A$1:$G$49, MATCH(orders!$D854, products!$A$1:$A$49, 0), MATCH(orders!L$1, products!$A$1:$G$1, 0))</f>
        <v>29.784999999999997</v>
      </c>
      <c r="M854" s="6">
        <f t="shared" si="40"/>
        <v>119.13999999999999</v>
      </c>
      <c r="N854" t="str">
        <f t="shared" si="41"/>
        <v>Liberica</v>
      </c>
      <c r="O854" t="str">
        <f t="shared" si="39"/>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_xlfn.XLOOKUP(C855,customers!$A$2:$A$1001,customers!$B$2:$B$1001,,0)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 MATCH(orders!$D855, products!$A$1:$A$49, 0), MATCH(orders!I$1, products!$A$1:$G$1, 0))</f>
        <v>Ara</v>
      </c>
      <c r="J855" t="str">
        <f>INDEX(products!$A$1:$G$49, MATCH(orders!$D855, products!$A$1:$A$49, 0), MATCH(orders!J$1, products!$A$1:$G$1, 0))</f>
        <v>D</v>
      </c>
      <c r="K855" s="5">
        <f>INDEX(products!$A$1:$G$49, MATCH(orders!$D855, products!$A$1:$A$49, 0), MATCH(orders!K$1, products!$A$1:$G$1, 0))</f>
        <v>1</v>
      </c>
      <c r="L855" s="6">
        <f>INDEX(products!$A$1:$G$49, MATCH(orders!$D855, products!$A$1:$A$49, 0), MATCH(orders!L$1, products!$A$1:$G$1, 0))</f>
        <v>9.9499999999999993</v>
      </c>
      <c r="M855" s="6">
        <f t="shared" si="40"/>
        <v>19.899999999999999</v>
      </c>
      <c r="N855" t="str">
        <f t="shared" si="41"/>
        <v>Arabica</v>
      </c>
      <c r="O855" t="str">
        <f t="shared" si="39"/>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_xlfn.XLOOKUP(C856,customers!$A$2:$A$1001,customers!$B$2:$B$1001,,0)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 MATCH(orders!$D856, products!$A$1:$A$49, 0), MATCH(orders!I$1, products!$A$1:$G$1, 0))</f>
        <v>Rob</v>
      </c>
      <c r="J856" t="str">
        <f>INDEX(products!$A$1:$G$49, MATCH(orders!$D856, products!$A$1:$A$49, 0), MATCH(orders!J$1, products!$A$1:$G$1, 0))</f>
        <v>L</v>
      </c>
      <c r="K856" s="5">
        <f>INDEX(products!$A$1:$G$49, MATCH(orders!$D856, products!$A$1:$A$49, 0), MATCH(orders!K$1, products!$A$1:$G$1, 0))</f>
        <v>0.5</v>
      </c>
      <c r="L856" s="6">
        <f>INDEX(products!$A$1:$G$49, MATCH(orders!$D856, products!$A$1:$A$49, 0), MATCH(orders!L$1, products!$A$1:$G$1, 0))</f>
        <v>7.169999999999999</v>
      </c>
      <c r="M856" s="6">
        <f t="shared" si="40"/>
        <v>35.849999999999994</v>
      </c>
      <c r="N856" t="str">
        <f t="shared" si="41"/>
        <v>Robusta</v>
      </c>
      <c r="O856" t="str">
        <f t="shared" si="39"/>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_xlfn.XLOOKUP(C857,customers!$A$2:$A$1001,customers!$B$2:$B$1001,,0)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 MATCH(orders!$D857, products!$A$1:$A$49, 0), MATCH(orders!I$1, products!$A$1:$G$1, 0))</f>
        <v>Lib</v>
      </c>
      <c r="J857" t="str">
        <f>INDEX(products!$A$1:$G$49, MATCH(orders!$D857, products!$A$1:$A$49, 0), MATCH(orders!J$1, products!$A$1:$G$1, 0))</f>
        <v>D</v>
      </c>
      <c r="K857" s="5">
        <f>INDEX(products!$A$1:$G$49, MATCH(orders!$D857, products!$A$1:$A$49, 0), MATCH(orders!K$1, products!$A$1:$G$1, 0))</f>
        <v>2.5</v>
      </c>
      <c r="L857" s="6">
        <f>INDEX(products!$A$1:$G$49, MATCH(orders!$D857, products!$A$1:$A$49, 0), MATCH(orders!L$1, products!$A$1:$G$1, 0))</f>
        <v>29.784999999999997</v>
      </c>
      <c r="M857" s="6">
        <f t="shared" si="40"/>
        <v>89.35499999999999</v>
      </c>
      <c r="N857" t="str">
        <f t="shared" si="41"/>
        <v>Liberica</v>
      </c>
      <c r="O857" t="str">
        <f t="shared" si="39"/>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_xlfn.XLOOKUP(C858,customers!$A$2:$A$1001,customers!$B$2:$B$1001,,0)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 MATCH(orders!$D858, products!$A$1:$A$49, 0), MATCH(orders!I$1, products!$A$1:$G$1, 0))</f>
        <v>Lib</v>
      </c>
      <c r="J858" t="str">
        <f>INDEX(products!$A$1:$G$49, MATCH(orders!$D858, products!$A$1:$A$49, 0), MATCH(orders!J$1, products!$A$1:$G$1, 0))</f>
        <v>M</v>
      </c>
      <c r="K858" s="5">
        <f>INDEX(products!$A$1:$G$49, MATCH(orders!$D858, products!$A$1:$A$49, 0), MATCH(orders!K$1, products!$A$1:$G$1, 0))</f>
        <v>0.2</v>
      </c>
      <c r="L858" s="6">
        <f>INDEX(products!$A$1:$G$49, MATCH(orders!$D858, products!$A$1:$A$49, 0), MATCH(orders!L$1, products!$A$1:$G$1, 0))</f>
        <v>4.3650000000000002</v>
      </c>
      <c r="M858" s="6">
        <f t="shared" si="40"/>
        <v>8.73</v>
      </c>
      <c r="N858" t="str">
        <f t="shared" si="41"/>
        <v>Liberica</v>
      </c>
      <c r="O858" t="str">
        <f t="shared" si="39"/>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_xlfn.XLOOKUP(C859,customers!$A$2:$A$1001,customers!$B$2:$B$1001,,0)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 MATCH(orders!$D859, products!$A$1:$A$49, 0), MATCH(orders!I$1, products!$A$1:$G$1, 0))</f>
        <v>Rob</v>
      </c>
      <c r="J859" t="str">
        <f>INDEX(products!$A$1:$G$49, MATCH(orders!$D859, products!$A$1:$A$49, 0), MATCH(orders!J$1, products!$A$1:$G$1, 0))</f>
        <v>L</v>
      </c>
      <c r="K859" s="5">
        <f>INDEX(products!$A$1:$G$49, MATCH(orders!$D859, products!$A$1:$A$49, 0), MATCH(orders!K$1, products!$A$1:$G$1, 0))</f>
        <v>2.5</v>
      </c>
      <c r="L859" s="6">
        <f>INDEX(products!$A$1:$G$49, MATCH(orders!$D859, products!$A$1:$A$49, 0), MATCH(orders!L$1, products!$A$1:$G$1, 0))</f>
        <v>27.484999999999996</v>
      </c>
      <c r="M859" s="6">
        <f t="shared" si="40"/>
        <v>137.42499999999998</v>
      </c>
      <c r="N859" t="str">
        <f t="shared" si="41"/>
        <v>Robusta</v>
      </c>
      <c r="O859" t="str">
        <f t="shared" si="39"/>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_xlfn.XLOOKUP(C860,customers!$A$2:$A$1001,customers!$B$2:$B$1001,,0)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 MATCH(orders!$D860, products!$A$1:$A$49, 0), MATCH(orders!I$1, products!$A$1:$G$1, 0))</f>
        <v>Lib</v>
      </c>
      <c r="J860" t="str">
        <f>INDEX(products!$A$1:$G$49, MATCH(orders!$D860, products!$A$1:$A$49, 0), MATCH(orders!J$1, products!$A$1:$G$1, 0))</f>
        <v>M</v>
      </c>
      <c r="K860" s="5">
        <f>INDEX(products!$A$1:$G$49, MATCH(orders!$D860, products!$A$1:$A$49, 0), MATCH(orders!K$1, products!$A$1:$G$1, 0))</f>
        <v>0.5</v>
      </c>
      <c r="L860" s="6">
        <f>INDEX(products!$A$1:$G$49, MATCH(orders!$D860, products!$A$1:$A$49, 0), MATCH(orders!L$1, products!$A$1:$G$1, 0))</f>
        <v>8.73</v>
      </c>
      <c r="M860" s="6">
        <f t="shared" si="40"/>
        <v>34.92</v>
      </c>
      <c r="N860" t="str">
        <f t="shared" si="41"/>
        <v>Liberica</v>
      </c>
      <c r="O860" t="str">
        <f t="shared" si="39"/>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_xlfn.XLOOKUP(C861,customers!$A$2:$A$1001,customers!$B$2:$B$1001,,0)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 MATCH(orders!$D861, products!$A$1:$A$49, 0), MATCH(orders!I$1, products!$A$1:$G$1, 0))</f>
        <v>Ara</v>
      </c>
      <c r="J861" t="str">
        <f>INDEX(products!$A$1:$G$49, MATCH(orders!$D861, products!$A$1:$A$49, 0), MATCH(orders!J$1, products!$A$1:$G$1, 0))</f>
        <v>L</v>
      </c>
      <c r="K861" s="5">
        <f>INDEX(products!$A$1:$G$49, MATCH(orders!$D861, products!$A$1:$A$49, 0), MATCH(orders!K$1, products!$A$1:$G$1, 0))</f>
        <v>2.5</v>
      </c>
      <c r="L861" s="6">
        <f>INDEX(products!$A$1:$G$49, MATCH(orders!$D861, products!$A$1:$A$49, 0), MATCH(orders!L$1, products!$A$1:$G$1, 0))</f>
        <v>29.784999999999997</v>
      </c>
      <c r="M861" s="6">
        <f t="shared" si="40"/>
        <v>178.70999999999998</v>
      </c>
      <c r="N861" t="str">
        <f t="shared" si="41"/>
        <v>Arabica</v>
      </c>
      <c r="O861" t="str">
        <f t="shared" si="39"/>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_xlfn.XLOOKUP(C862,customers!$A$2:$A$1001,customers!$B$2:$B$1001,,0)</f>
        <v>Cece Inker</v>
      </c>
      <c r="G862" s="2" t="str">
        <f>IF(_xlfn.XLOOKUP(C862,customers!$A$1:$A$1001,customers!$C$1:$C$1001,,0)=0,"",_xlfn.XLOOKUP(C862,customers!$A$1:$A$1001,customers!$C$1:$C$1001,,0))</f>
        <v/>
      </c>
      <c r="H862" s="2" t="str">
        <f>_xlfn.XLOOKUP(C862,customers!$A$1:$A$1001,customers!$G$1:$G$1001,,0)</f>
        <v>United States</v>
      </c>
      <c r="I862" t="str">
        <f>INDEX(products!$A$1:$G$49, MATCH(orders!$D862, products!$A$1:$A$49, 0), MATCH(orders!I$1, products!$A$1:$G$1, 0))</f>
        <v>Ara</v>
      </c>
      <c r="J862" t="str">
        <f>INDEX(products!$A$1:$G$49, MATCH(orders!$D862, products!$A$1:$A$49, 0), MATCH(orders!J$1, products!$A$1:$G$1, 0))</f>
        <v>M</v>
      </c>
      <c r="K862" s="5">
        <f>INDEX(products!$A$1:$G$49, MATCH(orders!$D862, products!$A$1:$A$49, 0), MATCH(orders!K$1, products!$A$1:$G$1, 0))</f>
        <v>2.5</v>
      </c>
      <c r="L862" s="6">
        <f>INDEX(products!$A$1:$G$49, MATCH(orders!$D862, products!$A$1:$A$49, 0), MATCH(orders!L$1, products!$A$1:$G$1, 0))</f>
        <v>25.874999999999996</v>
      </c>
      <c r="M862" s="6">
        <f t="shared" si="40"/>
        <v>25.874999999999996</v>
      </c>
      <c r="N862" t="str">
        <f t="shared" si="41"/>
        <v>Arabica</v>
      </c>
      <c r="O862" t="str">
        <f t="shared" si="39"/>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_xlfn.XLOOKUP(C863,customers!$A$2:$A$1001,customers!$B$2:$B$1001,,0)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 MATCH(orders!$D863, products!$A$1:$A$49, 0), MATCH(orders!I$1, products!$A$1:$G$1, 0))</f>
        <v>Lib</v>
      </c>
      <c r="J863" t="str">
        <f>INDEX(products!$A$1:$G$49, MATCH(orders!$D863, products!$A$1:$A$49, 0), MATCH(orders!J$1, products!$A$1:$G$1, 0))</f>
        <v>D</v>
      </c>
      <c r="K863" s="5">
        <f>INDEX(products!$A$1:$G$49, MATCH(orders!$D863, products!$A$1:$A$49, 0), MATCH(orders!K$1, products!$A$1:$G$1, 0))</f>
        <v>1</v>
      </c>
      <c r="L863" s="6">
        <f>INDEX(products!$A$1:$G$49, MATCH(orders!$D863, products!$A$1:$A$49, 0), MATCH(orders!L$1, products!$A$1:$G$1, 0))</f>
        <v>12.95</v>
      </c>
      <c r="M863" s="6">
        <f t="shared" si="40"/>
        <v>77.699999999999989</v>
      </c>
      <c r="N863" t="str">
        <f t="shared" si="41"/>
        <v>Liberica</v>
      </c>
      <c r="O863" t="str">
        <f t="shared" si="39"/>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_xlfn.XLOOKUP(C864,customers!$A$2:$A$1001,customers!$B$2:$B$1001,,0)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 MATCH(orders!$D864, products!$A$1:$A$49, 0), MATCH(orders!I$1, products!$A$1:$G$1, 0))</f>
        <v>Rob</v>
      </c>
      <c r="J864" t="str">
        <f>INDEX(products!$A$1:$G$49, MATCH(orders!$D864, products!$A$1:$A$49, 0), MATCH(orders!J$1, products!$A$1:$G$1, 0))</f>
        <v>M</v>
      </c>
      <c r="K864" s="5">
        <f>INDEX(products!$A$1:$G$49, MATCH(orders!$D864, products!$A$1:$A$49, 0), MATCH(orders!K$1, products!$A$1:$G$1, 0))</f>
        <v>1</v>
      </c>
      <c r="L864" s="6">
        <f>INDEX(products!$A$1:$G$49, MATCH(orders!$D864, products!$A$1:$A$49, 0), MATCH(orders!L$1, products!$A$1:$G$1, 0))</f>
        <v>9.9499999999999993</v>
      </c>
      <c r="M864" s="6">
        <f t="shared" si="40"/>
        <v>9.9499999999999993</v>
      </c>
      <c r="N864" t="str">
        <f t="shared" si="41"/>
        <v>Robusta</v>
      </c>
      <c r="O864" t="str">
        <f t="shared" si="39"/>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_xlfn.XLOOKUP(C865,customers!$A$2:$A$1001,customers!$B$2:$B$1001,,0)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 MATCH(orders!$D865, products!$A$1:$A$49, 0), MATCH(orders!I$1, products!$A$1:$G$1, 0))</f>
        <v>Lib</v>
      </c>
      <c r="J865" t="str">
        <f>INDEX(products!$A$1:$G$49, MATCH(orders!$D865, products!$A$1:$A$49, 0), MATCH(orders!J$1, products!$A$1:$G$1, 0))</f>
        <v>M</v>
      </c>
      <c r="K865" s="5">
        <f>INDEX(products!$A$1:$G$49, MATCH(orders!$D865, products!$A$1:$A$49, 0), MATCH(orders!K$1, products!$A$1:$G$1, 0))</f>
        <v>1</v>
      </c>
      <c r="L865" s="6">
        <f>INDEX(products!$A$1:$G$49, MATCH(orders!$D865, products!$A$1:$A$49, 0), MATCH(orders!L$1, products!$A$1:$G$1, 0))</f>
        <v>14.55</v>
      </c>
      <c r="M865" s="6">
        <f t="shared" si="40"/>
        <v>29.1</v>
      </c>
      <c r="N865" t="str">
        <f t="shared" si="41"/>
        <v>Liberica</v>
      </c>
      <c r="O865" t="str">
        <f t="shared" si="39"/>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_xlfn.XLOOKUP(C866,customers!$A$2:$A$1001,customers!$B$2:$B$1001,,0)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 MATCH(orders!$D866, products!$A$1:$A$49, 0), MATCH(orders!I$1, products!$A$1:$G$1, 0))</f>
        <v>Rob</v>
      </c>
      <c r="J866" t="str">
        <f>INDEX(products!$A$1:$G$49, MATCH(orders!$D866, products!$A$1:$A$49, 0), MATCH(orders!J$1, products!$A$1:$G$1, 0))</f>
        <v>L</v>
      </c>
      <c r="K866" s="5">
        <f>INDEX(products!$A$1:$G$49, MATCH(orders!$D866, products!$A$1:$A$49, 0), MATCH(orders!K$1, products!$A$1:$G$1, 0))</f>
        <v>0.2</v>
      </c>
      <c r="L866" s="6">
        <f>INDEX(products!$A$1:$G$49, MATCH(orders!$D866, products!$A$1:$A$49, 0), MATCH(orders!L$1, products!$A$1:$G$1, 0))</f>
        <v>3.5849999999999995</v>
      </c>
      <c r="M866" s="6">
        <f t="shared" si="40"/>
        <v>21.509999999999998</v>
      </c>
      <c r="N866" t="str">
        <f t="shared" si="41"/>
        <v>Robusta</v>
      </c>
      <c r="O866" t="str">
        <f t="shared" si="39"/>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_xlfn.XLOOKUP(C867,customers!$A$2:$A$1001,customers!$B$2:$B$1001,,0)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 MATCH(orders!$D867, products!$A$1:$A$49, 0), MATCH(orders!I$1, products!$A$1:$G$1, 0))</f>
        <v>Ara</v>
      </c>
      <c r="J867" t="str">
        <f>INDEX(products!$A$1:$G$49, MATCH(orders!$D867, products!$A$1:$A$49, 0), MATCH(orders!J$1, products!$A$1:$G$1, 0))</f>
        <v>M</v>
      </c>
      <c r="K867" s="5">
        <f>INDEX(products!$A$1:$G$49, MATCH(orders!$D867, products!$A$1:$A$49, 0), MATCH(orders!K$1, products!$A$1:$G$1, 0))</f>
        <v>0.5</v>
      </c>
      <c r="L867" s="6">
        <f>INDEX(products!$A$1:$G$49, MATCH(orders!$D867, products!$A$1:$A$49, 0), MATCH(orders!L$1, products!$A$1:$G$1, 0))</f>
        <v>6.75</v>
      </c>
      <c r="M867" s="6">
        <f t="shared" si="40"/>
        <v>6.75</v>
      </c>
      <c r="N867" t="str">
        <f t="shared" si="41"/>
        <v>Arabica</v>
      </c>
      <c r="O867" t="str">
        <f t="shared" si="39"/>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_xlfn.XLOOKUP(C868,customers!$A$2:$A$1001,customers!$B$2:$B$1001,,0)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 MATCH(orders!$D868, products!$A$1:$A$49, 0), MATCH(orders!I$1, products!$A$1:$G$1, 0))</f>
        <v>Ara</v>
      </c>
      <c r="J868" t="str">
        <f>INDEX(products!$A$1:$G$49, MATCH(orders!$D868, products!$A$1:$A$49, 0), MATCH(orders!J$1, products!$A$1:$G$1, 0))</f>
        <v>D</v>
      </c>
      <c r="K868" s="5">
        <f>INDEX(products!$A$1:$G$49, MATCH(orders!$D868, products!$A$1:$A$49, 0), MATCH(orders!K$1, products!$A$1:$G$1, 0))</f>
        <v>0.5</v>
      </c>
      <c r="L868" s="6">
        <f>INDEX(products!$A$1:$G$49, MATCH(orders!$D868, products!$A$1:$A$49, 0), MATCH(orders!L$1, products!$A$1:$G$1, 0))</f>
        <v>5.97</v>
      </c>
      <c r="M868" s="6">
        <f t="shared" si="40"/>
        <v>17.91</v>
      </c>
      <c r="N868" t="str">
        <f t="shared" si="41"/>
        <v>Arabica</v>
      </c>
      <c r="O868" t="str">
        <f t="shared" si="39"/>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_xlfn.XLOOKUP(C869,customers!$A$2:$A$1001,customers!$B$2:$B$1001,,0)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 MATCH(orders!$D869, products!$A$1:$A$49, 0), MATCH(orders!I$1, products!$A$1:$G$1, 0))</f>
        <v>Ara</v>
      </c>
      <c r="J869" t="str">
        <f>INDEX(products!$A$1:$G$49, MATCH(orders!$D869, products!$A$1:$A$49, 0), MATCH(orders!J$1, products!$A$1:$G$1, 0))</f>
        <v>L</v>
      </c>
      <c r="K869" s="5">
        <f>INDEX(products!$A$1:$G$49, MATCH(orders!$D869, products!$A$1:$A$49, 0), MATCH(orders!K$1, products!$A$1:$G$1, 0))</f>
        <v>2.5</v>
      </c>
      <c r="L869" s="6">
        <f>INDEX(products!$A$1:$G$49, MATCH(orders!$D869, products!$A$1:$A$49, 0), MATCH(orders!L$1, products!$A$1:$G$1, 0))</f>
        <v>29.784999999999997</v>
      </c>
      <c r="M869" s="6">
        <f t="shared" si="40"/>
        <v>29.784999999999997</v>
      </c>
      <c r="N869" t="str">
        <f t="shared" si="41"/>
        <v>Arabica</v>
      </c>
      <c r="O869" t="str">
        <f t="shared" si="39"/>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_xlfn.XLOOKUP(C870,customers!$A$2:$A$1001,customers!$B$2:$B$1001,,0)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 MATCH(orders!$D870, products!$A$1:$A$49, 0), MATCH(orders!I$1, products!$A$1:$G$1, 0))</f>
        <v>Exc</v>
      </c>
      <c r="J870" t="str">
        <f>INDEX(products!$A$1:$G$49, MATCH(orders!$D870, products!$A$1:$A$49, 0), MATCH(orders!J$1, products!$A$1:$G$1, 0))</f>
        <v>M</v>
      </c>
      <c r="K870" s="5">
        <f>INDEX(products!$A$1:$G$49, MATCH(orders!$D870, products!$A$1:$A$49, 0), MATCH(orders!K$1, products!$A$1:$G$1, 0))</f>
        <v>0.5</v>
      </c>
      <c r="L870" s="6">
        <f>INDEX(products!$A$1:$G$49, MATCH(orders!$D870, products!$A$1:$A$49, 0), MATCH(orders!L$1, products!$A$1:$G$1, 0))</f>
        <v>8.25</v>
      </c>
      <c r="M870" s="6">
        <f t="shared" si="40"/>
        <v>41.25</v>
      </c>
      <c r="N870" t="str">
        <f t="shared" si="41"/>
        <v>Excelsa</v>
      </c>
      <c r="O870" t="str">
        <f t="shared" si="39"/>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_xlfn.XLOOKUP(C871,customers!$A$2:$A$1001,customers!$B$2:$B$1001,,0)</f>
        <v>Alexina Randals</v>
      </c>
      <c r="G871" s="2" t="str">
        <f>IF(_xlfn.XLOOKUP(C871,customers!$A$1:$A$1001,customers!$C$1:$C$1001,,0)=0,"",_xlfn.XLOOKUP(C871,customers!$A$1:$A$1001,customers!$C$1:$C$1001,,0))</f>
        <v/>
      </c>
      <c r="H871" s="2" t="str">
        <f>_xlfn.XLOOKUP(C871,customers!$A$1:$A$1001,customers!$G$1:$G$1001,,0)</f>
        <v>United States</v>
      </c>
      <c r="I871" t="str">
        <f>INDEX(products!$A$1:$G$49, MATCH(orders!$D871, products!$A$1:$A$49, 0), MATCH(orders!I$1, products!$A$1:$G$1, 0))</f>
        <v>Rob</v>
      </c>
      <c r="J871" t="str">
        <f>INDEX(products!$A$1:$G$49, MATCH(orders!$D871, products!$A$1:$A$49, 0), MATCH(orders!J$1, products!$A$1:$G$1, 0))</f>
        <v>M</v>
      </c>
      <c r="K871" s="5">
        <f>INDEX(products!$A$1:$G$49, MATCH(orders!$D871, products!$A$1:$A$49, 0), MATCH(orders!K$1, products!$A$1:$G$1, 0))</f>
        <v>0.5</v>
      </c>
      <c r="L871" s="6">
        <f>INDEX(products!$A$1:$G$49, MATCH(orders!$D871, products!$A$1:$A$49, 0), MATCH(orders!L$1, products!$A$1:$G$1, 0))</f>
        <v>5.97</v>
      </c>
      <c r="M871" s="6">
        <f t="shared" si="40"/>
        <v>17.91</v>
      </c>
      <c r="N871" t="str">
        <f t="shared" si="41"/>
        <v>Robusta</v>
      </c>
      <c r="O871" t="str">
        <f t="shared" si="39"/>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_xlfn.XLOOKUP(C872,customers!$A$2:$A$1001,customers!$B$2:$B$1001,,0)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 MATCH(orders!$D872, products!$A$1:$A$49, 0), MATCH(orders!I$1, products!$A$1:$G$1, 0))</f>
        <v>Exc</v>
      </c>
      <c r="J872" t="str">
        <f>INDEX(products!$A$1:$G$49, MATCH(orders!$D872, products!$A$1:$A$49, 0), MATCH(orders!J$1, products!$A$1:$G$1, 0))</f>
        <v>D</v>
      </c>
      <c r="K872" s="5">
        <f>INDEX(products!$A$1:$G$49, MATCH(orders!$D872, products!$A$1:$A$49, 0), MATCH(orders!K$1, products!$A$1:$G$1, 0))</f>
        <v>0.5</v>
      </c>
      <c r="L872" s="6">
        <f>INDEX(products!$A$1:$G$49, MATCH(orders!$D872, products!$A$1:$A$49, 0), MATCH(orders!L$1, products!$A$1:$G$1, 0))</f>
        <v>7.29</v>
      </c>
      <c r="M872" s="6">
        <f t="shared" si="40"/>
        <v>7.29</v>
      </c>
      <c r="N872" t="str">
        <f t="shared" si="41"/>
        <v>Excelsa</v>
      </c>
      <c r="O872" t="str">
        <f t="shared" si="39"/>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_xlfn.XLOOKUP(C873,customers!$A$2:$A$1001,customers!$B$2:$B$1001,,0)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 MATCH(orders!$D873, products!$A$1:$A$49, 0), MATCH(orders!I$1, products!$A$1:$G$1, 0))</f>
        <v>Exc</v>
      </c>
      <c r="J873" t="str">
        <f>INDEX(products!$A$1:$G$49, MATCH(orders!$D873, products!$A$1:$A$49, 0), MATCH(orders!J$1, products!$A$1:$G$1, 0))</f>
        <v>L</v>
      </c>
      <c r="K873" s="5">
        <f>INDEX(products!$A$1:$G$49, MATCH(orders!$D873, products!$A$1:$A$49, 0), MATCH(orders!K$1, products!$A$1:$G$1, 0))</f>
        <v>1</v>
      </c>
      <c r="L873" s="6">
        <f>INDEX(products!$A$1:$G$49, MATCH(orders!$D873, products!$A$1:$A$49, 0), MATCH(orders!L$1, products!$A$1:$G$1, 0))</f>
        <v>14.85</v>
      </c>
      <c r="M873" s="6">
        <f t="shared" si="40"/>
        <v>29.7</v>
      </c>
      <c r="N873" t="str">
        <f t="shared" si="41"/>
        <v>Excelsa</v>
      </c>
      <c r="O873" t="str">
        <f t="shared" si="39"/>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_xlfn.XLOOKUP(C874,customers!$A$2:$A$1001,customers!$B$2:$B$1001,,0)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 MATCH(orders!$D874, products!$A$1:$A$49, 0), MATCH(orders!I$1, products!$A$1:$G$1, 0))</f>
        <v>Ara</v>
      </c>
      <c r="J874" t="str">
        <f>INDEX(products!$A$1:$G$49, MATCH(orders!$D874, products!$A$1:$A$49, 0), MATCH(orders!J$1, products!$A$1:$G$1, 0))</f>
        <v>M</v>
      </c>
      <c r="K874" s="5">
        <f>INDEX(products!$A$1:$G$49, MATCH(orders!$D874, products!$A$1:$A$49, 0), MATCH(orders!K$1, products!$A$1:$G$1, 0))</f>
        <v>1</v>
      </c>
      <c r="L874" s="6">
        <f>INDEX(products!$A$1:$G$49, MATCH(orders!$D874, products!$A$1:$A$49, 0), MATCH(orders!L$1, products!$A$1:$G$1, 0))</f>
        <v>11.25</v>
      </c>
      <c r="M874" s="6">
        <f t="shared" si="40"/>
        <v>22.5</v>
      </c>
      <c r="N874" t="str">
        <f t="shared" si="41"/>
        <v>Arabica</v>
      </c>
      <c r="O874" t="str">
        <f t="shared" si="39"/>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_xlfn.XLOOKUP(C875,customers!$A$2:$A$1001,customers!$B$2:$B$1001,,0)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 MATCH(orders!$D875, products!$A$1:$A$49, 0), MATCH(orders!I$1, products!$A$1:$G$1, 0))</f>
        <v>Rob</v>
      </c>
      <c r="J875" t="str">
        <f>INDEX(products!$A$1:$G$49, MATCH(orders!$D875, products!$A$1:$A$49, 0), MATCH(orders!J$1, products!$A$1:$G$1, 0))</f>
        <v>M</v>
      </c>
      <c r="K875" s="5">
        <f>INDEX(products!$A$1:$G$49, MATCH(orders!$D875, products!$A$1:$A$49, 0), MATCH(orders!K$1, products!$A$1:$G$1, 0))</f>
        <v>0.2</v>
      </c>
      <c r="L875" s="6">
        <f>INDEX(products!$A$1:$G$49, MATCH(orders!$D875, products!$A$1:$A$49, 0), MATCH(orders!L$1, products!$A$1:$G$1, 0))</f>
        <v>2.9849999999999999</v>
      </c>
      <c r="M875" s="6">
        <f t="shared" si="40"/>
        <v>11.94</v>
      </c>
      <c r="N875" t="str">
        <f t="shared" si="41"/>
        <v>Robusta</v>
      </c>
      <c r="O875" t="str">
        <f t="shared" si="39"/>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_xlfn.XLOOKUP(C876,customers!$A$2:$A$1001,customers!$B$2:$B$1001,,0)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 MATCH(orders!$D876, products!$A$1:$A$49, 0), MATCH(orders!I$1, products!$A$1:$G$1, 0))</f>
        <v>Ara</v>
      </c>
      <c r="J876" t="str">
        <f>INDEX(products!$A$1:$G$49, MATCH(orders!$D876, products!$A$1:$A$49, 0), MATCH(orders!J$1, products!$A$1:$G$1, 0))</f>
        <v>L</v>
      </c>
      <c r="K876" s="5">
        <f>INDEX(products!$A$1:$G$49, MATCH(orders!$D876, products!$A$1:$A$49, 0), MATCH(orders!K$1, products!$A$1:$G$1, 0))</f>
        <v>1</v>
      </c>
      <c r="L876" s="6">
        <f>INDEX(products!$A$1:$G$49, MATCH(orders!$D876, products!$A$1:$A$49, 0), MATCH(orders!L$1, products!$A$1:$G$1, 0))</f>
        <v>12.95</v>
      </c>
      <c r="M876" s="6">
        <f t="shared" si="40"/>
        <v>25.9</v>
      </c>
      <c r="N876" t="str">
        <f t="shared" si="41"/>
        <v>Arabica</v>
      </c>
      <c r="O876" t="str">
        <f t="shared" si="39"/>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_xlfn.XLOOKUP(C877,customers!$A$2:$A$1001,customers!$B$2:$B$1001,,0)</f>
        <v>Orazio Comber</v>
      </c>
      <c r="G877" s="2" t="str">
        <f>IF(_xlfn.XLOOKUP(C877,customers!$A$1:$A$1001,customers!$C$1:$C$1001,,0)=0,"",_xlfn.XLOOKUP(C877,customers!$A$1:$A$1001,customers!$C$1:$C$1001,,0))</f>
        <v>ocomberob@goo.gl</v>
      </c>
      <c r="H877" s="2" t="str">
        <f>_xlfn.XLOOKUP(C877,customers!$A$1:$A$1001,customers!$G$1:$G$1001,,0)</f>
        <v>Ireland</v>
      </c>
      <c r="I877" t="str">
        <f>INDEX(products!$A$1:$G$49, MATCH(orders!$D877, products!$A$1:$A$49, 0), MATCH(orders!I$1, products!$A$1:$G$1, 0))</f>
        <v>Lib</v>
      </c>
      <c r="J877" t="str">
        <f>INDEX(products!$A$1:$G$49, MATCH(orders!$D877, products!$A$1:$A$49, 0), MATCH(orders!J$1, products!$A$1:$G$1, 0))</f>
        <v>M</v>
      </c>
      <c r="K877" s="5">
        <f>INDEX(products!$A$1:$G$49, MATCH(orders!$D877, products!$A$1:$A$49, 0), MATCH(orders!K$1, products!$A$1:$G$1, 0))</f>
        <v>0.5</v>
      </c>
      <c r="L877" s="6">
        <f>INDEX(products!$A$1:$G$49, MATCH(orders!$D877, products!$A$1:$A$49, 0), MATCH(orders!L$1, products!$A$1:$G$1, 0))</f>
        <v>8.73</v>
      </c>
      <c r="M877" s="6">
        <f t="shared" si="40"/>
        <v>43.650000000000006</v>
      </c>
      <c r="N877" t="str">
        <f t="shared" si="41"/>
        <v>Liberica</v>
      </c>
      <c r="O877" t="str">
        <f t="shared" si="39"/>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_xlfn.XLOOKUP(C878,customers!$A$2:$A$1001,customers!$B$2:$B$1001,,0)</f>
        <v>Orazio Comber</v>
      </c>
      <c r="G878" s="2" t="str">
        <f>IF(_xlfn.XLOOKUP(C878,customers!$A$1:$A$1001,customers!$C$1:$C$1001,,0)=0,"",_xlfn.XLOOKUP(C878,customers!$A$1:$A$1001,customers!$C$1:$C$1001,,0))</f>
        <v>ocomberob@goo.gl</v>
      </c>
      <c r="H878" s="2" t="str">
        <f>_xlfn.XLOOKUP(C878,customers!$A$1:$A$1001,customers!$G$1:$G$1001,,0)</f>
        <v>Ireland</v>
      </c>
      <c r="I878" t="str">
        <f>INDEX(products!$A$1:$G$49, MATCH(orders!$D878, products!$A$1:$A$49, 0), MATCH(orders!I$1, products!$A$1:$G$1, 0))</f>
        <v>Ara</v>
      </c>
      <c r="J878" t="str">
        <f>INDEX(products!$A$1:$G$49, MATCH(orders!$D878, products!$A$1:$A$49, 0), MATCH(orders!J$1, products!$A$1:$G$1, 0))</f>
        <v>L</v>
      </c>
      <c r="K878" s="5">
        <f>INDEX(products!$A$1:$G$49, MATCH(orders!$D878, products!$A$1:$A$49, 0), MATCH(orders!K$1, products!$A$1:$G$1, 0))</f>
        <v>0.5</v>
      </c>
      <c r="L878" s="6">
        <f>INDEX(products!$A$1:$G$49, MATCH(orders!$D878, products!$A$1:$A$49, 0), MATCH(orders!L$1, products!$A$1:$G$1, 0))</f>
        <v>7.77</v>
      </c>
      <c r="M878" s="6">
        <f t="shared" si="40"/>
        <v>46.62</v>
      </c>
      <c r="N878" t="str">
        <f t="shared" si="41"/>
        <v>Arabica</v>
      </c>
      <c r="O878" t="str">
        <f t="shared" si="39"/>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_xlfn.XLOOKUP(C879,customers!$A$2:$A$1001,customers!$B$2:$B$1001,,0)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 MATCH(orders!$D879, products!$A$1:$A$49, 0), MATCH(orders!I$1, products!$A$1:$G$1, 0))</f>
        <v>Lib</v>
      </c>
      <c r="J879" t="str">
        <f>INDEX(products!$A$1:$G$49, MATCH(orders!$D879, products!$A$1:$A$49, 0), MATCH(orders!J$1, products!$A$1:$G$1, 0))</f>
        <v>L</v>
      </c>
      <c r="K879" s="5">
        <f>INDEX(products!$A$1:$G$49, MATCH(orders!$D879, products!$A$1:$A$49, 0), MATCH(orders!K$1, products!$A$1:$G$1, 0))</f>
        <v>0.5</v>
      </c>
      <c r="L879" s="6">
        <f>INDEX(products!$A$1:$G$49, MATCH(orders!$D879, products!$A$1:$A$49, 0), MATCH(orders!L$1, products!$A$1:$G$1, 0))</f>
        <v>9.51</v>
      </c>
      <c r="M879" s="6">
        <f t="shared" si="40"/>
        <v>28.53</v>
      </c>
      <c r="N879" t="str">
        <f t="shared" si="41"/>
        <v>Liberica</v>
      </c>
      <c r="O879" t="str">
        <f t="shared" si="39"/>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_xlfn.XLOOKUP(C880,customers!$A$2:$A$1001,customers!$B$2:$B$1001,,0)</f>
        <v>Izaak Primak</v>
      </c>
      <c r="G880" s="2" t="str">
        <f>IF(_xlfn.XLOOKUP(C880,customers!$A$1:$A$1001,customers!$C$1:$C$1001,,0)=0,"",_xlfn.XLOOKUP(C880,customers!$A$1:$A$1001,customers!$C$1:$C$1001,,0))</f>
        <v/>
      </c>
      <c r="H880" s="2" t="str">
        <f>_xlfn.XLOOKUP(C880,customers!$A$1:$A$1001,customers!$G$1:$G$1001,,0)</f>
        <v>United States</v>
      </c>
      <c r="I880" t="str">
        <f>INDEX(products!$A$1:$G$49, MATCH(orders!$D880, products!$A$1:$A$49, 0), MATCH(orders!I$1, products!$A$1:$G$1, 0))</f>
        <v>Rob</v>
      </c>
      <c r="J880" t="str">
        <f>INDEX(products!$A$1:$G$49, MATCH(orders!$D880, products!$A$1:$A$49, 0), MATCH(orders!J$1, products!$A$1:$G$1, 0))</f>
        <v>L</v>
      </c>
      <c r="K880" s="5">
        <f>INDEX(products!$A$1:$G$49, MATCH(orders!$D880, products!$A$1:$A$49, 0), MATCH(orders!K$1, products!$A$1:$G$1, 0))</f>
        <v>2.5</v>
      </c>
      <c r="L880" s="6">
        <f>INDEX(products!$A$1:$G$49, MATCH(orders!$D880, products!$A$1:$A$49, 0), MATCH(orders!L$1, products!$A$1:$G$1, 0))</f>
        <v>27.484999999999996</v>
      </c>
      <c r="M880" s="6">
        <f t="shared" si="40"/>
        <v>27.484999999999996</v>
      </c>
      <c r="N880" t="str">
        <f t="shared" si="41"/>
        <v>Robusta</v>
      </c>
      <c r="O880" t="str">
        <f t="shared" si="39"/>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_xlfn.XLOOKUP(C881,customers!$A$2:$A$1001,customers!$B$2:$B$1001,,0)</f>
        <v>Brittani Thoresbie</v>
      </c>
      <c r="G881" s="2" t="str">
        <f>IF(_xlfn.XLOOKUP(C881,customers!$A$1:$A$1001,customers!$C$1:$C$1001,,0)=0,"",_xlfn.XLOOKUP(C881,customers!$A$1:$A$1001,customers!$C$1:$C$1001,,0))</f>
        <v/>
      </c>
      <c r="H881" s="2" t="str">
        <f>_xlfn.XLOOKUP(C881,customers!$A$1:$A$1001,customers!$G$1:$G$1001,,0)</f>
        <v>United States</v>
      </c>
      <c r="I881" t="str">
        <f>INDEX(products!$A$1:$G$49, MATCH(orders!$D881, products!$A$1:$A$49, 0), MATCH(orders!I$1, products!$A$1:$G$1, 0))</f>
        <v>Exc</v>
      </c>
      <c r="J881" t="str">
        <f>INDEX(products!$A$1:$G$49, MATCH(orders!$D881, products!$A$1:$A$49, 0), MATCH(orders!J$1, products!$A$1:$G$1, 0))</f>
        <v>D</v>
      </c>
      <c r="K881" s="5">
        <f>INDEX(products!$A$1:$G$49, MATCH(orders!$D881, products!$A$1:$A$49, 0), MATCH(orders!K$1, products!$A$1:$G$1, 0))</f>
        <v>0.2</v>
      </c>
      <c r="L881" s="6">
        <f>INDEX(products!$A$1:$G$49, MATCH(orders!$D881, products!$A$1:$A$49, 0), MATCH(orders!L$1, products!$A$1:$G$1, 0))</f>
        <v>3.645</v>
      </c>
      <c r="M881" s="6">
        <f t="shared" si="40"/>
        <v>10.935</v>
      </c>
      <c r="N881" t="str">
        <f t="shared" si="41"/>
        <v>Excelsa</v>
      </c>
      <c r="O881" t="str">
        <f t="shared" si="39"/>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_xlfn.XLOOKUP(C882,customers!$A$2:$A$1001,customers!$B$2:$B$1001,,0)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 MATCH(orders!$D882, products!$A$1:$A$49, 0), MATCH(orders!I$1, products!$A$1:$G$1, 0))</f>
        <v>Rob</v>
      </c>
      <c r="J882" t="str">
        <f>INDEX(products!$A$1:$G$49, MATCH(orders!$D882, products!$A$1:$A$49, 0), MATCH(orders!J$1, products!$A$1:$G$1, 0))</f>
        <v>L</v>
      </c>
      <c r="K882" s="5">
        <f>INDEX(products!$A$1:$G$49, MATCH(orders!$D882, products!$A$1:$A$49, 0), MATCH(orders!K$1, products!$A$1:$G$1, 0))</f>
        <v>0.2</v>
      </c>
      <c r="L882" s="6">
        <f>INDEX(products!$A$1:$G$49, MATCH(orders!$D882, products!$A$1:$A$49, 0), MATCH(orders!L$1, products!$A$1:$G$1, 0))</f>
        <v>3.5849999999999995</v>
      </c>
      <c r="M882" s="6">
        <f t="shared" si="40"/>
        <v>7.169999999999999</v>
      </c>
      <c r="N882" t="str">
        <f t="shared" si="41"/>
        <v>Robusta</v>
      </c>
      <c r="O882" t="str">
        <f t="shared" si="39"/>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_xlfn.XLOOKUP(C883,customers!$A$2:$A$1001,customers!$B$2:$B$1001,,0)</f>
        <v>Bobbe Castagneto</v>
      </c>
      <c r="G883" s="2" t="str">
        <f>IF(_xlfn.XLOOKUP(C883,customers!$A$1:$A$1001,customers!$C$1:$C$1001,,0)=0,"",_xlfn.XLOOKUP(C883,customers!$A$1:$A$1001,customers!$C$1:$C$1001,,0))</f>
        <v/>
      </c>
      <c r="H883" s="2" t="str">
        <f>_xlfn.XLOOKUP(C883,customers!$A$1:$A$1001,customers!$G$1:$G$1001,,0)</f>
        <v>United States</v>
      </c>
      <c r="I883" t="str">
        <f>INDEX(products!$A$1:$G$49, MATCH(orders!$D883, products!$A$1:$A$49, 0), MATCH(orders!I$1, products!$A$1:$G$1, 0))</f>
        <v>Ara</v>
      </c>
      <c r="J883" t="str">
        <f>INDEX(products!$A$1:$G$49, MATCH(orders!$D883, products!$A$1:$A$49, 0), MATCH(orders!J$1, products!$A$1:$G$1, 0))</f>
        <v>L</v>
      </c>
      <c r="K883" s="5">
        <f>INDEX(products!$A$1:$G$49, MATCH(orders!$D883, products!$A$1:$A$49, 0), MATCH(orders!K$1, products!$A$1:$G$1, 0))</f>
        <v>0.2</v>
      </c>
      <c r="L883" s="6">
        <f>INDEX(products!$A$1:$G$49, MATCH(orders!$D883, products!$A$1:$A$49, 0), MATCH(orders!L$1, products!$A$1:$G$1, 0))</f>
        <v>3.8849999999999998</v>
      </c>
      <c r="M883" s="6">
        <f t="shared" si="40"/>
        <v>23.31</v>
      </c>
      <c r="N883" t="str">
        <f t="shared" si="41"/>
        <v>Arabica</v>
      </c>
      <c r="O883" t="str">
        <f t="shared" si="39"/>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_xlfn.XLOOKUP(C884,customers!$A$2:$A$1001,customers!$B$2:$B$1001,,0)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 MATCH(orders!$D884, products!$A$1:$A$49, 0), MATCH(orders!I$1, products!$A$1:$G$1, 0))</f>
        <v>Ara</v>
      </c>
      <c r="J884" t="str">
        <f>INDEX(products!$A$1:$G$49, MATCH(orders!$D884, products!$A$1:$A$49, 0), MATCH(orders!J$1, products!$A$1:$G$1, 0))</f>
        <v>D</v>
      </c>
      <c r="K884" s="5">
        <f>INDEX(products!$A$1:$G$49, MATCH(orders!$D884, products!$A$1:$A$49, 0), MATCH(orders!K$1, products!$A$1:$G$1, 0))</f>
        <v>2.5</v>
      </c>
      <c r="L884" s="6">
        <f>INDEX(products!$A$1:$G$49, MATCH(orders!$D884, products!$A$1:$A$49, 0), MATCH(orders!L$1, products!$A$1:$G$1, 0))</f>
        <v>22.884999999999998</v>
      </c>
      <c r="M884" s="6">
        <f t="shared" si="40"/>
        <v>114.42499999999998</v>
      </c>
      <c r="N884" t="str">
        <f t="shared" si="41"/>
        <v>Arabica</v>
      </c>
      <c r="O884" t="str">
        <f t="shared" si="39"/>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_xlfn.XLOOKUP(C885,customers!$A$2:$A$1001,customers!$B$2:$B$1001,,0)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 MATCH(orders!$D885, products!$A$1:$A$49, 0), MATCH(orders!I$1, products!$A$1:$G$1, 0))</f>
        <v>Ara</v>
      </c>
      <c r="J885" t="str">
        <f>INDEX(products!$A$1:$G$49, MATCH(orders!$D885, products!$A$1:$A$49, 0), MATCH(orders!J$1, products!$A$1:$G$1, 0))</f>
        <v>M</v>
      </c>
      <c r="K885" s="5">
        <f>INDEX(products!$A$1:$G$49, MATCH(orders!$D885, products!$A$1:$A$49, 0), MATCH(orders!K$1, products!$A$1:$G$1, 0))</f>
        <v>2.5</v>
      </c>
      <c r="L885" s="6">
        <f>INDEX(products!$A$1:$G$49, MATCH(orders!$D885, products!$A$1:$A$49, 0), MATCH(orders!L$1, products!$A$1:$G$1, 0))</f>
        <v>25.874999999999996</v>
      </c>
      <c r="M885" s="6">
        <f t="shared" si="40"/>
        <v>77.624999999999986</v>
      </c>
      <c r="N885" t="str">
        <f t="shared" si="41"/>
        <v>Arabica</v>
      </c>
      <c r="O885" t="str">
        <f t="shared" si="39"/>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_xlfn.XLOOKUP(C886,customers!$A$2:$A$1001,customers!$B$2:$B$1001,,0)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 MATCH(orders!$D886, products!$A$1:$A$49, 0), MATCH(orders!I$1, products!$A$1:$G$1, 0))</f>
        <v>Rob</v>
      </c>
      <c r="J886" t="str">
        <f>INDEX(products!$A$1:$G$49, MATCH(orders!$D886, products!$A$1:$A$49, 0), MATCH(orders!J$1, products!$A$1:$G$1, 0))</f>
        <v>D</v>
      </c>
      <c r="K886" s="5">
        <f>INDEX(products!$A$1:$G$49, MATCH(orders!$D886, products!$A$1:$A$49, 0), MATCH(orders!K$1, products!$A$1:$G$1, 0))</f>
        <v>0.5</v>
      </c>
      <c r="L886" s="6">
        <f>INDEX(products!$A$1:$G$49, MATCH(orders!$D886, products!$A$1:$A$49, 0), MATCH(orders!L$1, products!$A$1:$G$1, 0))</f>
        <v>5.3699999999999992</v>
      </c>
      <c r="M886" s="6">
        <f t="shared" si="40"/>
        <v>5.3699999999999992</v>
      </c>
      <c r="N886" t="str">
        <f t="shared" si="41"/>
        <v>Robusta</v>
      </c>
      <c r="O886" t="str">
        <f t="shared" si="39"/>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_xlfn.XLOOKUP(C887,customers!$A$2:$A$1001,customers!$B$2:$B$1001,,0)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 MATCH(orders!$D887, products!$A$1:$A$49, 0), MATCH(orders!I$1, products!$A$1:$G$1, 0))</f>
        <v>Rob</v>
      </c>
      <c r="J887" t="str">
        <f>INDEX(products!$A$1:$G$49, MATCH(orders!$D887, products!$A$1:$A$49, 0), MATCH(orders!J$1, products!$A$1:$G$1, 0))</f>
        <v>D</v>
      </c>
      <c r="K887" s="5">
        <f>INDEX(products!$A$1:$G$49, MATCH(orders!$D887, products!$A$1:$A$49, 0), MATCH(orders!K$1, products!$A$1:$G$1, 0))</f>
        <v>2.5</v>
      </c>
      <c r="L887" s="6">
        <f>INDEX(products!$A$1:$G$49, MATCH(orders!$D887, products!$A$1:$A$49, 0), MATCH(orders!L$1, products!$A$1:$G$1, 0))</f>
        <v>20.584999999999997</v>
      </c>
      <c r="M887" s="6">
        <f t="shared" si="40"/>
        <v>123.50999999999999</v>
      </c>
      <c r="N887" t="str">
        <f t="shared" si="41"/>
        <v>Robusta</v>
      </c>
      <c r="O887" t="str">
        <f t="shared" si="39"/>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_xlfn.XLOOKUP(C888,customers!$A$2:$A$1001,customers!$B$2:$B$1001,,0)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 MATCH(orders!$D888, products!$A$1:$A$49, 0), MATCH(orders!I$1, products!$A$1:$G$1, 0))</f>
        <v>Lib</v>
      </c>
      <c r="J888" t="str">
        <f>INDEX(products!$A$1:$G$49, MATCH(orders!$D888, products!$A$1:$A$49, 0), MATCH(orders!J$1, products!$A$1:$G$1, 0))</f>
        <v>M</v>
      </c>
      <c r="K888" s="5">
        <f>INDEX(products!$A$1:$G$49, MATCH(orders!$D888, products!$A$1:$A$49, 0), MATCH(orders!K$1, products!$A$1:$G$1, 0))</f>
        <v>0.5</v>
      </c>
      <c r="L888" s="6">
        <f>INDEX(products!$A$1:$G$49, MATCH(orders!$D888, products!$A$1:$A$49, 0), MATCH(orders!L$1, products!$A$1:$G$1, 0))</f>
        <v>8.73</v>
      </c>
      <c r="M888" s="6">
        <f t="shared" si="40"/>
        <v>17.46</v>
      </c>
      <c r="N888" t="str">
        <f t="shared" si="41"/>
        <v>Liberica</v>
      </c>
      <c r="O888" t="str">
        <f t="shared" si="39"/>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_xlfn.XLOOKUP(C889,customers!$A$2:$A$1001,customers!$B$2:$B$1001,,0)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 MATCH(orders!$D889, products!$A$1:$A$49, 0), MATCH(orders!I$1, products!$A$1:$G$1, 0))</f>
        <v>Exc</v>
      </c>
      <c r="J889" t="str">
        <f>INDEX(products!$A$1:$G$49, MATCH(orders!$D889, products!$A$1:$A$49, 0), MATCH(orders!J$1, products!$A$1:$G$1, 0))</f>
        <v>L</v>
      </c>
      <c r="K889" s="5">
        <f>INDEX(products!$A$1:$G$49, MATCH(orders!$D889, products!$A$1:$A$49, 0), MATCH(orders!K$1, products!$A$1:$G$1, 0))</f>
        <v>0.2</v>
      </c>
      <c r="L889" s="6">
        <f>INDEX(products!$A$1:$G$49, MATCH(orders!$D889, products!$A$1:$A$49, 0), MATCH(orders!L$1, products!$A$1:$G$1, 0))</f>
        <v>4.4550000000000001</v>
      </c>
      <c r="M889" s="6">
        <f t="shared" si="40"/>
        <v>13.365</v>
      </c>
      <c r="N889" t="str">
        <f t="shared" si="41"/>
        <v>Excelsa</v>
      </c>
      <c r="O889" t="str">
        <f t="shared" si="39"/>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_xlfn.XLOOKUP(C890,customers!$A$2:$A$1001,customers!$B$2:$B$1001,,0)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 MATCH(orders!$D890, products!$A$1:$A$49, 0), MATCH(orders!I$1, products!$A$1:$G$1, 0))</f>
        <v>Ara</v>
      </c>
      <c r="J890" t="str">
        <f>INDEX(products!$A$1:$G$49, MATCH(orders!$D890, products!$A$1:$A$49, 0), MATCH(orders!J$1, products!$A$1:$G$1, 0))</f>
        <v>L</v>
      </c>
      <c r="K890" s="5">
        <f>INDEX(products!$A$1:$G$49, MATCH(orders!$D890, products!$A$1:$A$49, 0), MATCH(orders!K$1, products!$A$1:$G$1, 0))</f>
        <v>0.2</v>
      </c>
      <c r="L890" s="6">
        <f>INDEX(products!$A$1:$G$49, MATCH(orders!$D890, products!$A$1:$A$49, 0), MATCH(orders!L$1, products!$A$1:$G$1, 0))</f>
        <v>3.8849999999999998</v>
      </c>
      <c r="M890" s="6">
        <f t="shared" si="40"/>
        <v>7.77</v>
      </c>
      <c r="N890" t="str">
        <f t="shared" si="41"/>
        <v>Arabica</v>
      </c>
      <c r="O890" t="str">
        <f t="shared" si="39"/>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_xlfn.XLOOKUP(C891,customers!$A$2:$A$1001,customers!$B$2:$B$1001,,0)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 MATCH(orders!$D891, products!$A$1:$A$49, 0), MATCH(orders!I$1, products!$A$1:$G$1, 0))</f>
        <v>Rob</v>
      </c>
      <c r="J891" t="str">
        <f>INDEX(products!$A$1:$G$49, MATCH(orders!$D891, products!$A$1:$A$49, 0), MATCH(orders!J$1, products!$A$1:$G$1, 0))</f>
        <v>D</v>
      </c>
      <c r="K891" s="5">
        <f>INDEX(products!$A$1:$G$49, MATCH(orders!$D891, products!$A$1:$A$49, 0), MATCH(orders!K$1, products!$A$1:$G$1, 0))</f>
        <v>0.2</v>
      </c>
      <c r="L891" s="6">
        <f>INDEX(products!$A$1:$G$49, MATCH(orders!$D891, products!$A$1:$A$49, 0), MATCH(orders!L$1, products!$A$1:$G$1, 0))</f>
        <v>2.6849999999999996</v>
      </c>
      <c r="M891" s="6">
        <f t="shared" si="40"/>
        <v>2.6849999999999996</v>
      </c>
      <c r="N891" t="str">
        <f t="shared" si="41"/>
        <v>Robusta</v>
      </c>
      <c r="O891" t="str">
        <f t="shared" si="39"/>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_xlfn.XLOOKUP(C892,customers!$A$2:$A$1001,customers!$B$2:$B$1001,,0)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 MATCH(orders!$D892, products!$A$1:$A$49, 0), MATCH(orders!I$1, products!$A$1:$G$1, 0))</f>
        <v>Rob</v>
      </c>
      <c r="J892" t="str">
        <f>INDEX(products!$A$1:$G$49, MATCH(orders!$D892, products!$A$1:$A$49, 0), MATCH(orders!J$1, products!$A$1:$G$1, 0))</f>
        <v>D</v>
      </c>
      <c r="K892" s="5">
        <f>INDEX(products!$A$1:$G$49, MATCH(orders!$D892, products!$A$1:$A$49, 0), MATCH(orders!K$1, products!$A$1:$G$1, 0))</f>
        <v>2.5</v>
      </c>
      <c r="L892" s="6">
        <f>INDEX(products!$A$1:$G$49, MATCH(orders!$D892, products!$A$1:$A$49, 0), MATCH(orders!L$1, products!$A$1:$G$1, 0))</f>
        <v>20.584999999999997</v>
      </c>
      <c r="M892" s="6">
        <f t="shared" si="40"/>
        <v>20.584999999999997</v>
      </c>
      <c r="N892" t="str">
        <f t="shared" si="41"/>
        <v>Robusta</v>
      </c>
      <c r="O892" t="str">
        <f t="shared" si="39"/>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_xlfn.XLOOKUP(C893,customers!$A$2:$A$1001,customers!$B$2:$B$1001,,0)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 MATCH(orders!$D893, products!$A$1:$A$49, 0), MATCH(orders!I$1, products!$A$1:$G$1, 0))</f>
        <v>Ara</v>
      </c>
      <c r="J893" t="str">
        <f>INDEX(products!$A$1:$G$49, MATCH(orders!$D893, products!$A$1:$A$49, 0), MATCH(orders!J$1, products!$A$1:$G$1, 0))</f>
        <v>D</v>
      </c>
      <c r="K893" s="5">
        <f>INDEX(products!$A$1:$G$49, MATCH(orders!$D893, products!$A$1:$A$49, 0), MATCH(orders!K$1, products!$A$1:$G$1, 0))</f>
        <v>2.5</v>
      </c>
      <c r="L893" s="6">
        <f>INDEX(products!$A$1:$G$49, MATCH(orders!$D893, products!$A$1:$A$49, 0), MATCH(orders!L$1, products!$A$1:$G$1, 0))</f>
        <v>22.884999999999998</v>
      </c>
      <c r="M893" s="6">
        <f t="shared" si="40"/>
        <v>114.42499999999998</v>
      </c>
      <c r="N893" t="str">
        <f t="shared" si="41"/>
        <v>Arabica</v>
      </c>
      <c r="O893" t="str">
        <f t="shared" si="39"/>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_xlfn.XLOOKUP(C894,customers!$A$2:$A$1001,customers!$B$2:$B$1001,,0)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 MATCH(orders!$D894, products!$A$1:$A$49, 0), MATCH(orders!I$1, products!$A$1:$G$1, 0))</f>
        <v>Exc</v>
      </c>
      <c r="J894" t="str">
        <f>INDEX(products!$A$1:$G$49, MATCH(orders!$D894, products!$A$1:$A$49, 0), MATCH(orders!J$1, products!$A$1:$G$1, 0))</f>
        <v>M</v>
      </c>
      <c r="K894" s="5">
        <f>INDEX(products!$A$1:$G$49, MATCH(orders!$D894, products!$A$1:$A$49, 0), MATCH(orders!K$1, products!$A$1:$G$1, 0))</f>
        <v>0.2</v>
      </c>
      <c r="L894" s="6">
        <f>INDEX(products!$A$1:$G$49, MATCH(orders!$D894, products!$A$1:$A$49, 0), MATCH(orders!L$1, products!$A$1:$G$1, 0))</f>
        <v>4.125</v>
      </c>
      <c r="M894" s="6">
        <f t="shared" si="40"/>
        <v>20.625</v>
      </c>
      <c r="N894" t="str">
        <f t="shared" si="41"/>
        <v>Excelsa</v>
      </c>
      <c r="O894" t="str">
        <f t="shared" si="39"/>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_xlfn.XLOOKUP(C895,customers!$A$2:$A$1001,customers!$B$2:$B$1001,,0)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 MATCH(orders!$D895, products!$A$1:$A$49, 0), MATCH(orders!I$1, products!$A$1:$G$1, 0))</f>
        <v>Lib</v>
      </c>
      <c r="J895" t="str">
        <f>INDEX(products!$A$1:$G$49, MATCH(orders!$D895, products!$A$1:$A$49, 0), MATCH(orders!J$1, products!$A$1:$G$1, 0))</f>
        <v>L</v>
      </c>
      <c r="K895" s="5">
        <f>INDEX(products!$A$1:$G$49, MATCH(orders!$D895, products!$A$1:$A$49, 0), MATCH(orders!K$1, products!$A$1:$G$1, 0))</f>
        <v>0.5</v>
      </c>
      <c r="L895" s="6">
        <f>INDEX(products!$A$1:$G$49, MATCH(orders!$D895, products!$A$1:$A$49, 0), MATCH(orders!L$1, products!$A$1:$G$1, 0))</f>
        <v>9.51</v>
      </c>
      <c r="M895" s="6">
        <f t="shared" si="40"/>
        <v>57.06</v>
      </c>
      <c r="N895" t="str">
        <f t="shared" si="41"/>
        <v>Liberica</v>
      </c>
      <c r="O895" t="str">
        <f t="shared" si="39"/>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_xlfn.XLOOKUP(C896,customers!$A$2:$A$1001,customers!$B$2:$B$1001,,0)</f>
        <v>Sharity Wickens</v>
      </c>
      <c r="G896" s="2" t="str">
        <f>IF(_xlfn.XLOOKUP(C896,customers!$A$1:$A$1001,customers!$C$1:$C$1001,,0)=0,"",_xlfn.XLOOKUP(C896,customers!$A$1:$A$1001,customers!$C$1:$C$1001,,0))</f>
        <v/>
      </c>
      <c r="H896" s="2" t="str">
        <f>_xlfn.XLOOKUP(C896,customers!$A$1:$A$1001,customers!$G$1:$G$1001,,0)</f>
        <v>Ireland</v>
      </c>
      <c r="I896" t="str">
        <f>INDEX(products!$A$1:$G$49, MATCH(orders!$D896, products!$A$1:$A$49, 0), MATCH(orders!I$1, products!$A$1:$G$1, 0))</f>
        <v>Rob</v>
      </c>
      <c r="J896" t="str">
        <f>INDEX(products!$A$1:$G$49, MATCH(orders!$D896, products!$A$1:$A$49, 0), MATCH(orders!J$1, products!$A$1:$G$1, 0))</f>
        <v>D</v>
      </c>
      <c r="K896" s="5">
        <f>INDEX(products!$A$1:$G$49, MATCH(orders!$D896, products!$A$1:$A$49, 0), MATCH(orders!K$1, products!$A$1:$G$1, 0))</f>
        <v>2.5</v>
      </c>
      <c r="L896" s="6">
        <f>INDEX(products!$A$1:$G$49, MATCH(orders!$D896, products!$A$1:$A$49, 0), MATCH(orders!L$1, products!$A$1:$G$1, 0))</f>
        <v>20.584999999999997</v>
      </c>
      <c r="M896" s="6">
        <f t="shared" si="40"/>
        <v>82.339999999999989</v>
      </c>
      <c r="N896" t="str">
        <f t="shared" si="41"/>
        <v>Robusta</v>
      </c>
      <c r="O896" t="str">
        <f t="shared" si="39"/>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_xlfn.XLOOKUP(C897,customers!$A$2:$A$1001,customers!$B$2:$B$1001,,0)</f>
        <v>Derick Snow</v>
      </c>
      <c r="G897" s="2" t="str">
        <f>IF(_xlfn.XLOOKUP(C897,customers!$A$1:$A$1001,customers!$C$1:$C$1001,,0)=0,"",_xlfn.XLOOKUP(C897,customers!$A$1:$A$1001,customers!$C$1:$C$1001,,0))</f>
        <v/>
      </c>
      <c r="H897" s="2" t="str">
        <f>_xlfn.XLOOKUP(C897,customers!$A$1:$A$1001,customers!$G$1:$G$1001,,0)</f>
        <v>United States</v>
      </c>
      <c r="I897" t="str">
        <f>INDEX(products!$A$1:$G$49, MATCH(orders!$D897, products!$A$1:$A$49, 0), MATCH(orders!I$1, products!$A$1:$G$1, 0))</f>
        <v>Exc</v>
      </c>
      <c r="J897" t="str">
        <f>INDEX(products!$A$1:$G$49, MATCH(orders!$D897, products!$A$1:$A$49, 0), MATCH(orders!J$1, products!$A$1:$G$1, 0))</f>
        <v>M</v>
      </c>
      <c r="K897" s="5">
        <f>INDEX(products!$A$1:$G$49, MATCH(orders!$D897, products!$A$1:$A$49, 0), MATCH(orders!K$1, products!$A$1:$G$1, 0))</f>
        <v>2.5</v>
      </c>
      <c r="L897" s="6">
        <f>INDEX(products!$A$1:$G$49, MATCH(orders!$D897, products!$A$1:$A$49, 0), MATCH(orders!L$1, products!$A$1:$G$1, 0))</f>
        <v>31.624999999999996</v>
      </c>
      <c r="M897" s="6">
        <f t="shared" si="40"/>
        <v>158.12499999999997</v>
      </c>
      <c r="N897" t="str">
        <f t="shared" si="41"/>
        <v>Excelsa</v>
      </c>
      <c r="O897" t="str">
        <f t="shared" si="39"/>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_xlfn.XLOOKUP(C898,customers!$A$2:$A$1001,customers!$B$2:$B$1001,,0)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 MATCH(orders!$D898, products!$A$1:$A$49, 0), MATCH(orders!I$1, products!$A$1:$G$1, 0))</f>
        <v>Rob</v>
      </c>
      <c r="J898" t="str">
        <f>INDEX(products!$A$1:$G$49, MATCH(orders!$D898, products!$A$1:$A$49, 0), MATCH(orders!J$1, products!$A$1:$G$1, 0))</f>
        <v>D</v>
      </c>
      <c r="K898" s="5">
        <f>INDEX(products!$A$1:$G$49, MATCH(orders!$D898, products!$A$1:$A$49, 0), MATCH(orders!K$1, products!$A$1:$G$1, 0))</f>
        <v>0.5</v>
      </c>
      <c r="L898" s="6">
        <f>INDEX(products!$A$1:$G$49, MATCH(orders!$D898, products!$A$1:$A$49, 0), MATCH(orders!L$1, products!$A$1:$G$1, 0))</f>
        <v>5.3699999999999992</v>
      </c>
      <c r="M898" s="6">
        <f t="shared" si="40"/>
        <v>32.22</v>
      </c>
      <c r="N898" t="str">
        <f t="shared" si="41"/>
        <v>Robusta</v>
      </c>
      <c r="O898" t="str">
        <f t="shared" ref="O898:O961" si="42">IF(J898="M","Medium",IF(J898="l","Light",IF(J898="d","Dark","")))</f>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_xlfn.XLOOKUP(C899,customers!$A$2:$A$1001,customers!$B$2:$B$1001,,0)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 MATCH(orders!$D899, products!$A$1:$A$49, 0), MATCH(orders!I$1, products!$A$1:$G$1, 0))</f>
        <v>Exc</v>
      </c>
      <c r="J899" t="str">
        <f>INDEX(products!$A$1:$G$49, MATCH(orders!$D899, products!$A$1:$A$49, 0), MATCH(orders!J$1, products!$A$1:$G$1, 0))</f>
        <v>D</v>
      </c>
      <c r="K899" s="5">
        <f>INDEX(products!$A$1:$G$49, MATCH(orders!$D899, products!$A$1:$A$49, 0), MATCH(orders!K$1, products!$A$1:$G$1, 0))</f>
        <v>1</v>
      </c>
      <c r="L899" s="6">
        <f>INDEX(products!$A$1:$G$49, MATCH(orders!$D899, products!$A$1:$A$49, 0), MATCH(orders!L$1, products!$A$1:$G$1, 0))</f>
        <v>12.15</v>
      </c>
      <c r="M899" s="6">
        <f t="shared" ref="M899:M962" si="43">L899*E899</f>
        <v>24.3</v>
      </c>
      <c r="N899" t="str">
        <f t="shared" ref="N899:N962" si="44">IF(I899="Rob","Robusta",IF(I899="Exc","Excelsa",IF(I899="Ara","Arabica",IF(I899="lib","Liberica",""))))</f>
        <v>Excelsa</v>
      </c>
      <c r="O899" t="str">
        <f t="shared" si="42"/>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_xlfn.XLOOKUP(C900,customers!$A$2:$A$1001,customers!$B$2:$B$1001,,0)</f>
        <v>Daryn Cassius</v>
      </c>
      <c r="G900" s="2" t="str">
        <f>IF(_xlfn.XLOOKUP(C900,customers!$A$1:$A$1001,customers!$C$1:$C$1001,,0)=0,"",_xlfn.XLOOKUP(C900,customers!$A$1:$A$1001,customers!$C$1:$C$1001,,0))</f>
        <v/>
      </c>
      <c r="H900" s="2" t="str">
        <f>_xlfn.XLOOKUP(C900,customers!$A$1:$A$1001,customers!$G$1:$G$1001,,0)</f>
        <v>United States</v>
      </c>
      <c r="I900" t="str">
        <f>INDEX(products!$A$1:$G$49, MATCH(orders!$D900, products!$A$1:$A$49, 0), MATCH(orders!I$1, products!$A$1:$G$1, 0))</f>
        <v>Rob</v>
      </c>
      <c r="J900" t="str">
        <f>INDEX(products!$A$1:$G$49, MATCH(orders!$D900, products!$A$1:$A$49, 0), MATCH(orders!J$1, products!$A$1:$G$1, 0))</f>
        <v>L</v>
      </c>
      <c r="K900" s="5">
        <f>INDEX(products!$A$1:$G$49, MATCH(orders!$D900, products!$A$1:$A$49, 0), MATCH(orders!K$1, products!$A$1:$G$1, 0))</f>
        <v>0.5</v>
      </c>
      <c r="L900" s="6">
        <f>INDEX(products!$A$1:$G$49, MATCH(orders!$D900, products!$A$1:$A$49, 0), MATCH(orders!L$1, products!$A$1:$G$1, 0))</f>
        <v>7.169999999999999</v>
      </c>
      <c r="M900" s="6">
        <f t="shared" si="43"/>
        <v>35.849999999999994</v>
      </c>
      <c r="N900" t="str">
        <f t="shared" si="44"/>
        <v>Robusta</v>
      </c>
      <c r="O900" t="str">
        <f t="shared" si="42"/>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_xlfn.XLOOKUP(C901,customers!$A$2:$A$1001,customers!$B$2:$B$1001,,0)</f>
        <v>Derick Snow</v>
      </c>
      <c r="G901" s="2" t="str">
        <f>IF(_xlfn.XLOOKUP(C901,customers!$A$1:$A$1001,customers!$C$1:$C$1001,,0)=0,"",_xlfn.XLOOKUP(C901,customers!$A$1:$A$1001,customers!$C$1:$C$1001,,0))</f>
        <v/>
      </c>
      <c r="H901" s="2" t="str">
        <f>_xlfn.XLOOKUP(C901,customers!$A$1:$A$1001,customers!$G$1:$G$1001,,0)</f>
        <v>United States</v>
      </c>
      <c r="I901" t="str">
        <f>INDEX(products!$A$1:$G$49, MATCH(orders!$D901, products!$A$1:$A$49, 0), MATCH(orders!I$1, products!$A$1:$G$1, 0))</f>
        <v>Lib</v>
      </c>
      <c r="J901" t="str">
        <f>INDEX(products!$A$1:$G$49, MATCH(orders!$D901, products!$A$1:$A$49, 0), MATCH(orders!J$1, products!$A$1:$G$1, 0))</f>
        <v>M</v>
      </c>
      <c r="K901" s="5">
        <f>INDEX(products!$A$1:$G$49, MATCH(orders!$D901, products!$A$1:$A$49, 0), MATCH(orders!K$1, products!$A$1:$G$1, 0))</f>
        <v>1</v>
      </c>
      <c r="L901" s="6">
        <f>INDEX(products!$A$1:$G$49, MATCH(orders!$D901, products!$A$1:$A$49, 0), MATCH(orders!L$1, products!$A$1:$G$1, 0))</f>
        <v>14.55</v>
      </c>
      <c r="M901" s="6">
        <f t="shared" si="43"/>
        <v>72.75</v>
      </c>
      <c r="N901" t="str">
        <f t="shared" si="44"/>
        <v>Liberica</v>
      </c>
      <c r="O901" t="str">
        <f t="shared" si="42"/>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_xlfn.XLOOKUP(C902,customers!$A$2:$A$1001,customers!$B$2:$B$1001,,0)</f>
        <v>Skelly Dolohunty</v>
      </c>
      <c r="G902" s="2" t="str">
        <f>IF(_xlfn.XLOOKUP(C902,customers!$A$1:$A$1001,customers!$C$1:$C$1001,,0)=0,"",_xlfn.XLOOKUP(C902,customers!$A$1:$A$1001,customers!$C$1:$C$1001,,0))</f>
        <v/>
      </c>
      <c r="H902" s="2" t="str">
        <f>_xlfn.XLOOKUP(C902,customers!$A$1:$A$1001,customers!$G$1:$G$1001,,0)</f>
        <v>Ireland</v>
      </c>
      <c r="I902" t="str">
        <f>INDEX(products!$A$1:$G$49, MATCH(orders!$D902, products!$A$1:$A$49, 0), MATCH(orders!I$1, products!$A$1:$G$1, 0))</f>
        <v>Lib</v>
      </c>
      <c r="J902" t="str">
        <f>INDEX(products!$A$1:$G$49, MATCH(orders!$D902, products!$A$1:$A$49, 0), MATCH(orders!J$1, products!$A$1:$G$1, 0))</f>
        <v>L</v>
      </c>
      <c r="K902" s="5">
        <f>INDEX(products!$A$1:$G$49, MATCH(orders!$D902, products!$A$1:$A$49, 0), MATCH(orders!K$1, products!$A$1:$G$1, 0))</f>
        <v>1</v>
      </c>
      <c r="L902" s="6">
        <f>INDEX(products!$A$1:$G$49, MATCH(orders!$D902, products!$A$1:$A$49, 0), MATCH(orders!L$1, products!$A$1:$G$1, 0))</f>
        <v>15.85</v>
      </c>
      <c r="M902" s="6">
        <f t="shared" si="43"/>
        <v>47.55</v>
      </c>
      <c r="N902" t="str">
        <f t="shared" si="44"/>
        <v>Liberica</v>
      </c>
      <c r="O902" t="str">
        <f t="shared" si="42"/>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_xlfn.XLOOKUP(C903,customers!$A$2:$A$1001,customers!$B$2:$B$1001,,0)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 MATCH(orders!$D903, products!$A$1:$A$49, 0), MATCH(orders!I$1, products!$A$1:$G$1, 0))</f>
        <v>Rob</v>
      </c>
      <c r="J903" t="str">
        <f>INDEX(products!$A$1:$G$49, MATCH(orders!$D903, products!$A$1:$A$49, 0), MATCH(orders!J$1, products!$A$1:$G$1, 0))</f>
        <v>L</v>
      </c>
      <c r="K903" s="5">
        <f>INDEX(products!$A$1:$G$49, MATCH(orders!$D903, products!$A$1:$A$49, 0), MATCH(orders!K$1, products!$A$1:$G$1, 0))</f>
        <v>0.2</v>
      </c>
      <c r="L903" s="6">
        <f>INDEX(products!$A$1:$G$49, MATCH(orders!$D903, products!$A$1:$A$49, 0), MATCH(orders!L$1, products!$A$1:$G$1, 0))</f>
        <v>3.5849999999999995</v>
      </c>
      <c r="M903" s="6">
        <f t="shared" si="43"/>
        <v>3.5849999999999995</v>
      </c>
      <c r="N903" t="str">
        <f t="shared" si="44"/>
        <v>Robusta</v>
      </c>
      <c r="O903" t="str">
        <f t="shared" si="42"/>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_xlfn.XLOOKUP(C904,customers!$A$2:$A$1001,customers!$B$2:$B$1001,,0)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 MATCH(orders!$D904, products!$A$1:$A$49, 0), MATCH(orders!I$1, products!$A$1:$G$1, 0))</f>
        <v>Exc</v>
      </c>
      <c r="J904" t="str">
        <f>INDEX(products!$A$1:$G$49, MATCH(orders!$D904, products!$A$1:$A$49, 0), MATCH(orders!J$1, products!$A$1:$G$1, 0))</f>
        <v>M</v>
      </c>
      <c r="K904" s="5">
        <f>INDEX(products!$A$1:$G$49, MATCH(orders!$D904, products!$A$1:$A$49, 0), MATCH(orders!K$1, products!$A$1:$G$1, 0))</f>
        <v>2.5</v>
      </c>
      <c r="L904" s="6">
        <f>INDEX(products!$A$1:$G$49, MATCH(orders!$D904, products!$A$1:$A$49, 0), MATCH(orders!L$1, products!$A$1:$G$1, 0))</f>
        <v>31.624999999999996</v>
      </c>
      <c r="M904" s="6">
        <f t="shared" si="43"/>
        <v>158.12499999999997</v>
      </c>
      <c r="N904" t="str">
        <f t="shared" si="44"/>
        <v>Excelsa</v>
      </c>
      <c r="O904" t="str">
        <f t="shared" si="42"/>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_xlfn.XLOOKUP(C905,customers!$A$2:$A$1001,customers!$B$2:$B$1001,,0)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 MATCH(orders!$D905, products!$A$1:$A$49, 0), MATCH(orders!I$1, products!$A$1:$G$1, 0))</f>
        <v>Lib</v>
      </c>
      <c r="J905" t="str">
        <f>INDEX(products!$A$1:$G$49, MATCH(orders!$D905, products!$A$1:$A$49, 0), MATCH(orders!J$1, products!$A$1:$G$1, 0))</f>
        <v>M</v>
      </c>
      <c r="K905" s="5">
        <f>INDEX(products!$A$1:$G$49, MATCH(orders!$D905, products!$A$1:$A$49, 0), MATCH(orders!K$1, products!$A$1:$G$1, 0))</f>
        <v>0.5</v>
      </c>
      <c r="L905" s="6">
        <f>INDEX(products!$A$1:$G$49, MATCH(orders!$D905, products!$A$1:$A$49, 0), MATCH(orders!L$1, products!$A$1:$G$1, 0))</f>
        <v>8.73</v>
      </c>
      <c r="M905" s="6">
        <f t="shared" si="43"/>
        <v>17.46</v>
      </c>
      <c r="N905" t="str">
        <f t="shared" si="44"/>
        <v>Liberica</v>
      </c>
      <c r="O905" t="str">
        <f t="shared" si="42"/>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_xlfn.XLOOKUP(C906,customers!$A$2:$A$1001,customers!$B$2:$B$1001,,0)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 MATCH(orders!$D906, products!$A$1:$A$49, 0), MATCH(orders!I$1, products!$A$1:$G$1, 0))</f>
        <v>Ara</v>
      </c>
      <c r="J906" t="str">
        <f>INDEX(products!$A$1:$G$49, MATCH(orders!$D906, products!$A$1:$A$49, 0), MATCH(orders!J$1, products!$A$1:$G$1, 0))</f>
        <v>L</v>
      </c>
      <c r="K906" s="5">
        <f>INDEX(products!$A$1:$G$49, MATCH(orders!$D906, products!$A$1:$A$49, 0), MATCH(orders!K$1, products!$A$1:$G$1, 0))</f>
        <v>2.5</v>
      </c>
      <c r="L906" s="6">
        <f>INDEX(products!$A$1:$G$49, MATCH(orders!$D906, products!$A$1:$A$49, 0), MATCH(orders!L$1, products!$A$1:$G$1, 0))</f>
        <v>29.784999999999997</v>
      </c>
      <c r="M906" s="6">
        <f t="shared" si="43"/>
        <v>148.92499999999998</v>
      </c>
      <c r="N906" t="str">
        <f t="shared" si="44"/>
        <v>Arabica</v>
      </c>
      <c r="O906" t="str">
        <f t="shared" si="42"/>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_xlfn.XLOOKUP(C907,customers!$A$2:$A$1001,customers!$B$2:$B$1001,,0)</f>
        <v>Darcy Lochran</v>
      </c>
      <c r="G907" s="2" t="str">
        <f>IF(_xlfn.XLOOKUP(C907,customers!$A$1:$A$1001,customers!$C$1:$C$1001,,0)=0,"",_xlfn.XLOOKUP(C907,customers!$A$1:$A$1001,customers!$C$1:$C$1001,,0))</f>
        <v/>
      </c>
      <c r="H907" s="2" t="str">
        <f>_xlfn.XLOOKUP(C907,customers!$A$1:$A$1001,customers!$G$1:$G$1001,,0)</f>
        <v>United States</v>
      </c>
      <c r="I907" t="str">
        <f>INDEX(products!$A$1:$G$49, MATCH(orders!$D907, products!$A$1:$A$49, 0), MATCH(orders!I$1, products!$A$1:$G$1, 0))</f>
        <v>Ara</v>
      </c>
      <c r="J907" t="str">
        <f>INDEX(products!$A$1:$G$49, MATCH(orders!$D907, products!$A$1:$A$49, 0), MATCH(orders!J$1, products!$A$1:$G$1, 0))</f>
        <v>M</v>
      </c>
      <c r="K907" s="5">
        <f>INDEX(products!$A$1:$G$49, MATCH(orders!$D907, products!$A$1:$A$49, 0), MATCH(orders!K$1, products!$A$1:$G$1, 0))</f>
        <v>0.5</v>
      </c>
      <c r="L907" s="6">
        <f>INDEX(products!$A$1:$G$49, MATCH(orders!$D907, products!$A$1:$A$49, 0), MATCH(orders!L$1, products!$A$1:$G$1, 0))</f>
        <v>6.75</v>
      </c>
      <c r="M907" s="6">
        <f t="shared" si="43"/>
        <v>40.5</v>
      </c>
      <c r="N907" t="str">
        <f t="shared" si="44"/>
        <v>Arabica</v>
      </c>
      <c r="O907" t="str">
        <f t="shared" si="42"/>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_xlfn.XLOOKUP(C908,customers!$A$2:$A$1001,customers!$B$2:$B$1001,,0)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 MATCH(orders!$D908, products!$A$1:$A$49, 0), MATCH(orders!I$1, products!$A$1:$G$1, 0))</f>
        <v>Ara</v>
      </c>
      <c r="J908" t="str">
        <f>INDEX(products!$A$1:$G$49, MATCH(orders!$D908, products!$A$1:$A$49, 0), MATCH(orders!J$1, products!$A$1:$G$1, 0))</f>
        <v>M</v>
      </c>
      <c r="K908" s="5">
        <f>INDEX(products!$A$1:$G$49, MATCH(orders!$D908, products!$A$1:$A$49, 0), MATCH(orders!K$1, products!$A$1:$G$1, 0))</f>
        <v>0.5</v>
      </c>
      <c r="L908" s="6">
        <f>INDEX(products!$A$1:$G$49, MATCH(orders!$D908, products!$A$1:$A$49, 0), MATCH(orders!L$1, products!$A$1:$G$1, 0))</f>
        <v>6.75</v>
      </c>
      <c r="M908" s="6">
        <f t="shared" si="43"/>
        <v>27</v>
      </c>
      <c r="N908" t="str">
        <f t="shared" si="44"/>
        <v>Arabica</v>
      </c>
      <c r="O908" t="str">
        <f t="shared" si="42"/>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_xlfn.XLOOKUP(C909,customers!$A$2:$A$1001,customers!$B$2:$B$1001,,0)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 MATCH(orders!$D909, products!$A$1:$A$49, 0), MATCH(orders!I$1, products!$A$1:$G$1, 0))</f>
        <v>Lib</v>
      </c>
      <c r="J909" t="str">
        <f>INDEX(products!$A$1:$G$49, MATCH(orders!$D909, products!$A$1:$A$49, 0), MATCH(orders!J$1, products!$A$1:$G$1, 0))</f>
        <v>D</v>
      </c>
      <c r="K909" s="5">
        <f>INDEX(products!$A$1:$G$49, MATCH(orders!$D909, products!$A$1:$A$49, 0), MATCH(orders!K$1, products!$A$1:$G$1, 0))</f>
        <v>1</v>
      </c>
      <c r="L909" s="6">
        <f>INDEX(products!$A$1:$G$49, MATCH(orders!$D909, products!$A$1:$A$49, 0), MATCH(orders!L$1, products!$A$1:$G$1, 0))</f>
        <v>12.95</v>
      </c>
      <c r="M909" s="6">
        <f t="shared" si="43"/>
        <v>38.849999999999994</v>
      </c>
      <c r="N909" t="str">
        <f t="shared" si="44"/>
        <v>Liberica</v>
      </c>
      <c r="O909" t="str">
        <f t="shared" si="42"/>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_xlfn.XLOOKUP(C910,customers!$A$2:$A$1001,customers!$B$2:$B$1001,,0)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 MATCH(orders!$D910, products!$A$1:$A$49, 0), MATCH(orders!I$1, products!$A$1:$G$1, 0))</f>
        <v>Rob</v>
      </c>
      <c r="J910" t="str">
        <f>INDEX(products!$A$1:$G$49, MATCH(orders!$D910, products!$A$1:$A$49, 0), MATCH(orders!J$1, products!$A$1:$G$1, 0))</f>
        <v>L</v>
      </c>
      <c r="K910" s="5">
        <f>INDEX(products!$A$1:$G$49, MATCH(orders!$D910, products!$A$1:$A$49, 0), MATCH(orders!K$1, products!$A$1:$G$1, 0))</f>
        <v>1</v>
      </c>
      <c r="L910" s="6">
        <f>INDEX(products!$A$1:$G$49, MATCH(orders!$D910, products!$A$1:$A$49, 0), MATCH(orders!L$1, products!$A$1:$G$1, 0))</f>
        <v>11.95</v>
      </c>
      <c r="M910" s="6">
        <f t="shared" si="43"/>
        <v>59.75</v>
      </c>
      <c r="N910" t="str">
        <f t="shared" si="44"/>
        <v>Robusta</v>
      </c>
      <c r="O910" t="str">
        <f t="shared" si="42"/>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_xlfn.XLOOKUP(C911,customers!$A$2:$A$1001,customers!$B$2:$B$1001,,0)</f>
        <v>Bobbe Renner</v>
      </c>
      <c r="G911" s="2" t="str">
        <f>IF(_xlfn.XLOOKUP(C911,customers!$A$1:$A$1001,customers!$C$1:$C$1001,,0)=0,"",_xlfn.XLOOKUP(C911,customers!$A$1:$A$1001,customers!$C$1:$C$1001,,0))</f>
        <v/>
      </c>
      <c r="H911" s="2" t="str">
        <f>_xlfn.XLOOKUP(C911,customers!$A$1:$A$1001,customers!$G$1:$G$1001,,0)</f>
        <v>United States</v>
      </c>
      <c r="I911" t="str">
        <f>INDEX(products!$A$1:$G$49, MATCH(orders!$D911, products!$A$1:$A$49, 0), MATCH(orders!I$1, products!$A$1:$G$1, 0))</f>
        <v>Rob</v>
      </c>
      <c r="J911" t="str">
        <f>INDEX(products!$A$1:$G$49, MATCH(orders!$D911, products!$A$1:$A$49, 0), MATCH(orders!J$1, products!$A$1:$G$1, 0))</f>
        <v>L</v>
      </c>
      <c r="K911" s="5">
        <f>INDEX(products!$A$1:$G$49, MATCH(orders!$D911, products!$A$1:$A$49, 0), MATCH(orders!K$1, products!$A$1:$G$1, 0))</f>
        <v>0.2</v>
      </c>
      <c r="L911" s="6">
        <f>INDEX(products!$A$1:$G$49, MATCH(orders!$D911, products!$A$1:$A$49, 0), MATCH(orders!L$1, products!$A$1:$G$1, 0))</f>
        <v>3.5849999999999995</v>
      </c>
      <c r="M911" s="6">
        <f t="shared" si="43"/>
        <v>10.754999999999999</v>
      </c>
      <c r="N911" t="str">
        <f t="shared" si="44"/>
        <v>Robusta</v>
      </c>
      <c r="O911" t="str">
        <f t="shared" si="42"/>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_xlfn.XLOOKUP(C912,customers!$A$2:$A$1001,customers!$B$2:$B$1001,,0)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 MATCH(orders!$D912, products!$A$1:$A$49, 0), MATCH(orders!I$1, products!$A$1:$G$1, 0))</f>
        <v>Ara</v>
      </c>
      <c r="J912" t="str">
        <f>INDEX(products!$A$1:$G$49, MATCH(orders!$D912, products!$A$1:$A$49, 0), MATCH(orders!J$1, products!$A$1:$G$1, 0))</f>
        <v>D</v>
      </c>
      <c r="K912" s="5">
        <f>INDEX(products!$A$1:$G$49, MATCH(orders!$D912, products!$A$1:$A$49, 0), MATCH(orders!K$1, products!$A$1:$G$1, 0))</f>
        <v>2.5</v>
      </c>
      <c r="L912" s="6">
        <f>INDEX(products!$A$1:$G$49, MATCH(orders!$D912, products!$A$1:$A$49, 0), MATCH(orders!L$1, products!$A$1:$G$1, 0))</f>
        <v>22.884999999999998</v>
      </c>
      <c r="M912" s="6">
        <f t="shared" si="43"/>
        <v>91.539999999999992</v>
      </c>
      <c r="N912" t="str">
        <f t="shared" si="44"/>
        <v>Arabica</v>
      </c>
      <c r="O912" t="str">
        <f t="shared" si="42"/>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_xlfn.XLOOKUP(C913,customers!$A$2:$A$1001,customers!$B$2:$B$1001,,0)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 MATCH(orders!$D913, products!$A$1:$A$49, 0), MATCH(orders!I$1, products!$A$1:$G$1, 0))</f>
        <v>Ara</v>
      </c>
      <c r="J913" t="str">
        <f>INDEX(products!$A$1:$G$49, MATCH(orders!$D913, products!$A$1:$A$49, 0), MATCH(orders!J$1, products!$A$1:$G$1, 0))</f>
        <v>M</v>
      </c>
      <c r="K913" s="5">
        <f>INDEX(products!$A$1:$G$49, MATCH(orders!$D913, products!$A$1:$A$49, 0), MATCH(orders!K$1, products!$A$1:$G$1, 0))</f>
        <v>1</v>
      </c>
      <c r="L913" s="6">
        <f>INDEX(products!$A$1:$G$49, MATCH(orders!$D913, products!$A$1:$A$49, 0), MATCH(orders!L$1, products!$A$1:$G$1, 0))</f>
        <v>11.25</v>
      </c>
      <c r="M913" s="6">
        <f t="shared" si="43"/>
        <v>45</v>
      </c>
      <c r="N913" t="str">
        <f t="shared" si="44"/>
        <v>Arabica</v>
      </c>
      <c r="O913" t="str">
        <f t="shared" si="42"/>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_xlfn.XLOOKUP(C914,customers!$A$2:$A$1001,customers!$B$2:$B$1001,,0)</f>
        <v>Paulie Fonzone</v>
      </c>
      <c r="G914" s="2" t="str">
        <f>IF(_xlfn.XLOOKUP(C914,customers!$A$1:$A$1001,customers!$C$1:$C$1001,,0)=0,"",_xlfn.XLOOKUP(C914,customers!$A$1:$A$1001,customers!$C$1:$C$1001,,0))</f>
        <v/>
      </c>
      <c r="H914" s="2" t="str">
        <f>_xlfn.XLOOKUP(C914,customers!$A$1:$A$1001,customers!$G$1:$G$1001,,0)</f>
        <v>United States</v>
      </c>
      <c r="I914" t="str">
        <f>INDEX(products!$A$1:$G$49, MATCH(orders!$D914, products!$A$1:$A$49, 0), MATCH(orders!I$1, products!$A$1:$G$1, 0))</f>
        <v>Rob</v>
      </c>
      <c r="J914" t="str">
        <f>INDEX(products!$A$1:$G$49, MATCH(orders!$D914, products!$A$1:$A$49, 0), MATCH(orders!J$1, products!$A$1:$G$1, 0))</f>
        <v>M</v>
      </c>
      <c r="K914" s="5">
        <f>INDEX(products!$A$1:$G$49, MATCH(orders!$D914, products!$A$1:$A$49, 0), MATCH(orders!K$1, products!$A$1:$G$1, 0))</f>
        <v>2.5</v>
      </c>
      <c r="L914" s="6">
        <f>INDEX(products!$A$1:$G$49, MATCH(orders!$D914, products!$A$1:$A$49, 0), MATCH(orders!L$1, products!$A$1:$G$1, 0))</f>
        <v>22.884999999999998</v>
      </c>
      <c r="M914" s="6">
        <f t="shared" si="43"/>
        <v>137.31</v>
      </c>
      <c r="N914" t="str">
        <f t="shared" si="44"/>
        <v>Robusta</v>
      </c>
      <c r="O914" t="str">
        <f t="shared" si="42"/>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_xlfn.XLOOKUP(C915,customers!$A$2:$A$1001,customers!$B$2:$B$1001,,0)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 MATCH(orders!$D915, products!$A$1:$A$49, 0), MATCH(orders!I$1, products!$A$1:$G$1, 0))</f>
        <v>Ara</v>
      </c>
      <c r="J915" t="str">
        <f>INDEX(products!$A$1:$G$49, MATCH(orders!$D915, products!$A$1:$A$49, 0), MATCH(orders!J$1, products!$A$1:$G$1, 0))</f>
        <v>M</v>
      </c>
      <c r="K915" s="5">
        <f>INDEX(products!$A$1:$G$49, MATCH(orders!$D915, products!$A$1:$A$49, 0), MATCH(orders!K$1, products!$A$1:$G$1, 0))</f>
        <v>0.5</v>
      </c>
      <c r="L915" s="6">
        <f>INDEX(products!$A$1:$G$49, MATCH(orders!$D915, products!$A$1:$A$49, 0), MATCH(orders!L$1, products!$A$1:$G$1, 0))</f>
        <v>6.75</v>
      </c>
      <c r="M915" s="6">
        <f t="shared" si="43"/>
        <v>6.75</v>
      </c>
      <c r="N915" t="str">
        <f t="shared" si="44"/>
        <v>Arabica</v>
      </c>
      <c r="O915" t="str">
        <f t="shared" si="42"/>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_xlfn.XLOOKUP(C916,customers!$A$2:$A$1001,customers!$B$2:$B$1001,,0)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 MATCH(orders!$D916, products!$A$1:$A$49, 0), MATCH(orders!I$1, products!$A$1:$G$1, 0))</f>
        <v>Ara</v>
      </c>
      <c r="J916" t="str">
        <f>INDEX(products!$A$1:$G$49, MATCH(orders!$D916, products!$A$1:$A$49, 0), MATCH(orders!J$1, products!$A$1:$G$1, 0))</f>
        <v>M</v>
      </c>
      <c r="K916" s="5">
        <f>INDEX(products!$A$1:$G$49, MATCH(orders!$D916, products!$A$1:$A$49, 0), MATCH(orders!K$1, products!$A$1:$G$1, 0))</f>
        <v>1</v>
      </c>
      <c r="L916" s="6">
        <f>INDEX(products!$A$1:$G$49, MATCH(orders!$D916, products!$A$1:$A$49, 0), MATCH(orders!L$1, products!$A$1:$G$1, 0))</f>
        <v>11.25</v>
      </c>
      <c r="M916" s="6">
        <f t="shared" si="43"/>
        <v>45</v>
      </c>
      <c r="N916" t="str">
        <f t="shared" si="44"/>
        <v>Arabica</v>
      </c>
      <c r="O916" t="str">
        <f t="shared" si="42"/>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_xlfn.XLOOKUP(C917,customers!$A$2:$A$1001,customers!$B$2:$B$1001,,0)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 MATCH(orders!$D917, products!$A$1:$A$49, 0), MATCH(orders!I$1, products!$A$1:$G$1, 0))</f>
        <v>Exc</v>
      </c>
      <c r="J917" t="str">
        <f>INDEX(products!$A$1:$G$49, MATCH(orders!$D917, products!$A$1:$A$49, 0), MATCH(orders!J$1, products!$A$1:$G$1, 0))</f>
        <v>D</v>
      </c>
      <c r="K917" s="5">
        <f>INDEX(products!$A$1:$G$49, MATCH(orders!$D917, products!$A$1:$A$49, 0), MATCH(orders!K$1, products!$A$1:$G$1, 0))</f>
        <v>2.5</v>
      </c>
      <c r="L917" s="6">
        <f>INDEX(products!$A$1:$G$49, MATCH(orders!$D917, products!$A$1:$A$49, 0), MATCH(orders!L$1, products!$A$1:$G$1, 0))</f>
        <v>27.945</v>
      </c>
      <c r="M917" s="6">
        <f t="shared" si="43"/>
        <v>83.835000000000008</v>
      </c>
      <c r="N917" t="str">
        <f t="shared" si="44"/>
        <v>Excelsa</v>
      </c>
      <c r="O917" t="str">
        <f t="shared" si="42"/>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_xlfn.XLOOKUP(C918,customers!$A$2:$A$1001,customers!$B$2:$B$1001,,0)</f>
        <v>Harland Trematick</v>
      </c>
      <c r="G918" s="2" t="str">
        <f>IF(_xlfn.XLOOKUP(C918,customers!$A$1:$A$1001,customers!$C$1:$C$1001,,0)=0,"",_xlfn.XLOOKUP(C918,customers!$A$1:$A$1001,customers!$C$1:$C$1001,,0))</f>
        <v/>
      </c>
      <c r="H918" s="2" t="str">
        <f>_xlfn.XLOOKUP(C918,customers!$A$1:$A$1001,customers!$G$1:$G$1001,,0)</f>
        <v>Ireland</v>
      </c>
      <c r="I918" t="str">
        <f>INDEX(products!$A$1:$G$49, MATCH(orders!$D918, products!$A$1:$A$49, 0), MATCH(orders!I$1, products!$A$1:$G$1, 0))</f>
        <v>Exc</v>
      </c>
      <c r="J918" t="str">
        <f>INDEX(products!$A$1:$G$49, MATCH(orders!$D918, products!$A$1:$A$49, 0), MATCH(orders!J$1, products!$A$1:$G$1, 0))</f>
        <v>D</v>
      </c>
      <c r="K918" s="5">
        <f>INDEX(products!$A$1:$G$49, MATCH(orders!$D918, products!$A$1:$A$49, 0), MATCH(orders!K$1, products!$A$1:$G$1, 0))</f>
        <v>0.2</v>
      </c>
      <c r="L918" s="6">
        <f>INDEX(products!$A$1:$G$49, MATCH(orders!$D918, products!$A$1:$A$49, 0), MATCH(orders!L$1, products!$A$1:$G$1, 0))</f>
        <v>3.645</v>
      </c>
      <c r="M918" s="6">
        <f t="shared" si="43"/>
        <v>3.645</v>
      </c>
      <c r="N918" t="str">
        <f t="shared" si="44"/>
        <v>Excelsa</v>
      </c>
      <c r="O918" t="str">
        <f t="shared" si="42"/>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_xlfn.XLOOKUP(C919,customers!$A$2:$A$1001,customers!$B$2:$B$1001,,0)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 MATCH(orders!$D919, products!$A$1:$A$49, 0), MATCH(orders!I$1, products!$A$1:$G$1, 0))</f>
        <v>Ara</v>
      </c>
      <c r="J919" t="str">
        <f>INDEX(products!$A$1:$G$49, MATCH(orders!$D919, products!$A$1:$A$49, 0), MATCH(orders!J$1, products!$A$1:$G$1, 0))</f>
        <v>M</v>
      </c>
      <c r="K919" s="5">
        <f>INDEX(products!$A$1:$G$49, MATCH(orders!$D919, products!$A$1:$A$49, 0), MATCH(orders!K$1, products!$A$1:$G$1, 0))</f>
        <v>0.5</v>
      </c>
      <c r="L919" s="6">
        <f>INDEX(products!$A$1:$G$49, MATCH(orders!$D919, products!$A$1:$A$49, 0), MATCH(orders!L$1, products!$A$1:$G$1, 0))</f>
        <v>6.75</v>
      </c>
      <c r="M919" s="6">
        <f t="shared" si="43"/>
        <v>6.75</v>
      </c>
      <c r="N919" t="str">
        <f t="shared" si="44"/>
        <v>Arabica</v>
      </c>
      <c r="O919" t="str">
        <f t="shared" si="42"/>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_xlfn.XLOOKUP(C920,customers!$A$2:$A$1001,customers!$B$2:$B$1001,,0)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 MATCH(orders!$D920, products!$A$1:$A$49, 0), MATCH(orders!I$1, products!$A$1:$G$1, 0))</f>
        <v>Exc</v>
      </c>
      <c r="J920" t="str">
        <f>INDEX(products!$A$1:$G$49, MATCH(orders!$D920, products!$A$1:$A$49, 0), MATCH(orders!J$1, products!$A$1:$G$1, 0))</f>
        <v>D</v>
      </c>
      <c r="K920" s="5">
        <f>INDEX(products!$A$1:$G$49, MATCH(orders!$D920, products!$A$1:$A$49, 0), MATCH(orders!K$1, products!$A$1:$G$1, 0))</f>
        <v>0.5</v>
      </c>
      <c r="L920" s="6">
        <f>INDEX(products!$A$1:$G$49, MATCH(orders!$D920, products!$A$1:$A$49, 0), MATCH(orders!L$1, products!$A$1:$G$1, 0))</f>
        <v>7.29</v>
      </c>
      <c r="M920" s="6">
        <f t="shared" si="43"/>
        <v>21.87</v>
      </c>
      <c r="N920" t="str">
        <f t="shared" si="44"/>
        <v>Excelsa</v>
      </c>
      <c r="O920" t="str">
        <f t="shared" si="42"/>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_xlfn.XLOOKUP(C921,customers!$A$2:$A$1001,customers!$B$2:$B$1001,,0)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 MATCH(orders!$D921, products!$A$1:$A$49, 0), MATCH(orders!I$1, products!$A$1:$G$1, 0))</f>
        <v>Rob</v>
      </c>
      <c r="J921" t="str">
        <f>INDEX(products!$A$1:$G$49, MATCH(orders!$D921, products!$A$1:$A$49, 0), MATCH(orders!J$1, products!$A$1:$G$1, 0))</f>
        <v>D</v>
      </c>
      <c r="K921" s="5">
        <f>INDEX(products!$A$1:$G$49, MATCH(orders!$D921, products!$A$1:$A$49, 0), MATCH(orders!K$1, products!$A$1:$G$1, 0))</f>
        <v>0.2</v>
      </c>
      <c r="L921" s="6">
        <f>INDEX(products!$A$1:$G$49, MATCH(orders!$D921, products!$A$1:$A$49, 0), MATCH(orders!L$1, products!$A$1:$G$1, 0))</f>
        <v>2.6849999999999996</v>
      </c>
      <c r="M921" s="6">
        <f t="shared" si="43"/>
        <v>13.424999999999997</v>
      </c>
      <c r="N921" t="str">
        <f t="shared" si="44"/>
        <v>Robusta</v>
      </c>
      <c r="O921" t="str">
        <f t="shared" si="42"/>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_xlfn.XLOOKUP(C922,customers!$A$2:$A$1001,customers!$B$2:$B$1001,,0)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 MATCH(orders!$D922, products!$A$1:$A$49, 0), MATCH(orders!I$1, products!$A$1:$G$1, 0))</f>
        <v>Rob</v>
      </c>
      <c r="J922" t="str">
        <f>INDEX(products!$A$1:$G$49, MATCH(orders!$D922, products!$A$1:$A$49, 0), MATCH(orders!J$1, products!$A$1:$G$1, 0))</f>
        <v>D</v>
      </c>
      <c r="K922" s="5">
        <f>INDEX(products!$A$1:$G$49, MATCH(orders!$D922, products!$A$1:$A$49, 0), MATCH(orders!K$1, products!$A$1:$G$1, 0))</f>
        <v>2.5</v>
      </c>
      <c r="L922" s="6">
        <f>INDEX(products!$A$1:$G$49, MATCH(orders!$D922, products!$A$1:$A$49, 0), MATCH(orders!L$1, products!$A$1:$G$1, 0))</f>
        <v>20.584999999999997</v>
      </c>
      <c r="M922" s="6">
        <f t="shared" si="43"/>
        <v>123.50999999999999</v>
      </c>
      <c r="N922" t="str">
        <f t="shared" si="44"/>
        <v>Robusta</v>
      </c>
      <c r="O922" t="str">
        <f t="shared" si="42"/>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_xlfn.XLOOKUP(C923,customers!$A$2:$A$1001,customers!$B$2:$B$1001,,0)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 MATCH(orders!$D923, products!$A$1:$A$49, 0), MATCH(orders!I$1, products!$A$1:$G$1, 0))</f>
        <v>Lib</v>
      </c>
      <c r="J923" t="str">
        <f>INDEX(products!$A$1:$G$49, MATCH(orders!$D923, products!$A$1:$A$49, 0), MATCH(orders!J$1, products!$A$1:$G$1, 0))</f>
        <v>D</v>
      </c>
      <c r="K923" s="5">
        <f>INDEX(products!$A$1:$G$49, MATCH(orders!$D923, products!$A$1:$A$49, 0), MATCH(orders!K$1, products!$A$1:$G$1, 0))</f>
        <v>0.2</v>
      </c>
      <c r="L923" s="6">
        <f>INDEX(products!$A$1:$G$49, MATCH(orders!$D923, products!$A$1:$A$49, 0), MATCH(orders!L$1, products!$A$1:$G$1, 0))</f>
        <v>3.8849999999999998</v>
      </c>
      <c r="M923" s="6">
        <f t="shared" si="43"/>
        <v>7.77</v>
      </c>
      <c r="N923" t="str">
        <f t="shared" si="44"/>
        <v>Liberica</v>
      </c>
      <c r="O923" t="str">
        <f t="shared" si="42"/>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_xlfn.XLOOKUP(C924,customers!$A$2:$A$1001,customers!$B$2:$B$1001,,0)</f>
        <v>Charin Maplethorp</v>
      </c>
      <c r="G924" s="2" t="str">
        <f>IF(_xlfn.XLOOKUP(C924,customers!$A$1:$A$1001,customers!$C$1:$C$1001,,0)=0,"",_xlfn.XLOOKUP(C924,customers!$A$1:$A$1001,customers!$C$1:$C$1001,,0))</f>
        <v/>
      </c>
      <c r="H924" s="2" t="str">
        <f>_xlfn.XLOOKUP(C924,customers!$A$1:$A$1001,customers!$G$1:$G$1001,,0)</f>
        <v>United States</v>
      </c>
      <c r="I924" t="str">
        <f>INDEX(products!$A$1:$G$49, MATCH(orders!$D924, products!$A$1:$A$49, 0), MATCH(orders!I$1, products!$A$1:$G$1, 0))</f>
        <v>Ara</v>
      </c>
      <c r="J924" t="str">
        <f>INDEX(products!$A$1:$G$49, MATCH(orders!$D924, products!$A$1:$A$49, 0), MATCH(orders!J$1, products!$A$1:$G$1, 0))</f>
        <v>M</v>
      </c>
      <c r="K924" s="5">
        <f>INDEX(products!$A$1:$G$49, MATCH(orders!$D924, products!$A$1:$A$49, 0), MATCH(orders!K$1, products!$A$1:$G$1, 0))</f>
        <v>1</v>
      </c>
      <c r="L924" s="6">
        <f>INDEX(products!$A$1:$G$49, MATCH(orders!$D924, products!$A$1:$A$49, 0), MATCH(orders!L$1, products!$A$1:$G$1, 0))</f>
        <v>11.25</v>
      </c>
      <c r="M924" s="6">
        <f t="shared" si="43"/>
        <v>67.5</v>
      </c>
      <c r="N924" t="str">
        <f t="shared" si="44"/>
        <v>Arabica</v>
      </c>
      <c r="O924" t="str">
        <f t="shared" si="42"/>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_xlfn.XLOOKUP(C925,customers!$A$2:$A$1001,customers!$B$2:$B$1001,,0)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 MATCH(orders!$D925, products!$A$1:$A$49, 0), MATCH(orders!I$1, products!$A$1:$G$1, 0))</f>
        <v>Exc</v>
      </c>
      <c r="J925" t="str">
        <f>INDEX(products!$A$1:$G$49, MATCH(orders!$D925, products!$A$1:$A$49, 0), MATCH(orders!J$1, products!$A$1:$G$1, 0))</f>
        <v>D</v>
      </c>
      <c r="K925" s="5">
        <f>INDEX(products!$A$1:$G$49, MATCH(orders!$D925, products!$A$1:$A$49, 0), MATCH(orders!K$1, products!$A$1:$G$1, 0))</f>
        <v>2.5</v>
      </c>
      <c r="L925" s="6">
        <f>INDEX(products!$A$1:$G$49, MATCH(orders!$D925, products!$A$1:$A$49, 0), MATCH(orders!L$1, products!$A$1:$G$1, 0))</f>
        <v>27.945</v>
      </c>
      <c r="M925" s="6">
        <f t="shared" si="43"/>
        <v>27.945</v>
      </c>
      <c r="N925" t="str">
        <f t="shared" si="44"/>
        <v>Excelsa</v>
      </c>
      <c r="O925" t="str">
        <f t="shared" si="42"/>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_xlfn.XLOOKUP(C926,customers!$A$2:$A$1001,customers!$B$2:$B$1001,,0)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 MATCH(orders!$D926, products!$A$1:$A$49, 0), MATCH(orders!I$1, products!$A$1:$G$1, 0))</f>
        <v>Ara</v>
      </c>
      <c r="J926" t="str">
        <f>INDEX(products!$A$1:$G$49, MATCH(orders!$D926, products!$A$1:$A$49, 0), MATCH(orders!J$1, products!$A$1:$G$1, 0))</f>
        <v>L</v>
      </c>
      <c r="K926" s="5">
        <f>INDEX(products!$A$1:$G$49, MATCH(orders!$D926, products!$A$1:$A$49, 0), MATCH(orders!K$1, products!$A$1:$G$1, 0))</f>
        <v>2.5</v>
      </c>
      <c r="L926" s="6">
        <f>INDEX(products!$A$1:$G$49, MATCH(orders!$D926, products!$A$1:$A$49, 0), MATCH(orders!L$1, products!$A$1:$G$1, 0))</f>
        <v>29.784999999999997</v>
      </c>
      <c r="M926" s="6">
        <f t="shared" si="43"/>
        <v>89.35499999999999</v>
      </c>
      <c r="N926" t="str">
        <f t="shared" si="44"/>
        <v>Arabica</v>
      </c>
      <c r="O926" t="str">
        <f t="shared" si="42"/>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_xlfn.XLOOKUP(C927,customers!$A$2:$A$1001,customers!$B$2:$B$1001,,0)</f>
        <v>Derick Snow</v>
      </c>
      <c r="G927" s="2" t="str">
        <f>IF(_xlfn.XLOOKUP(C927,customers!$A$1:$A$1001,customers!$C$1:$C$1001,,0)=0,"",_xlfn.XLOOKUP(C927,customers!$A$1:$A$1001,customers!$C$1:$C$1001,,0))</f>
        <v/>
      </c>
      <c r="H927" s="2" t="str">
        <f>_xlfn.XLOOKUP(C927,customers!$A$1:$A$1001,customers!$G$1:$G$1001,,0)</f>
        <v>United States</v>
      </c>
      <c r="I927" t="str">
        <f>INDEX(products!$A$1:$G$49, MATCH(orders!$D927, products!$A$1:$A$49, 0), MATCH(orders!I$1, products!$A$1:$G$1, 0))</f>
        <v>Ara</v>
      </c>
      <c r="J927" t="str">
        <f>INDEX(products!$A$1:$G$49, MATCH(orders!$D927, products!$A$1:$A$49, 0), MATCH(orders!J$1, products!$A$1:$G$1, 0))</f>
        <v>M</v>
      </c>
      <c r="K927" s="5">
        <f>INDEX(products!$A$1:$G$49, MATCH(orders!$D927, products!$A$1:$A$49, 0), MATCH(orders!K$1, products!$A$1:$G$1, 0))</f>
        <v>0.5</v>
      </c>
      <c r="L927" s="6">
        <f>INDEX(products!$A$1:$G$49, MATCH(orders!$D927, products!$A$1:$A$49, 0), MATCH(orders!L$1, products!$A$1:$G$1, 0))</f>
        <v>6.75</v>
      </c>
      <c r="M927" s="6">
        <f t="shared" si="43"/>
        <v>20.25</v>
      </c>
      <c r="N927" t="str">
        <f t="shared" si="44"/>
        <v>Arabica</v>
      </c>
      <c r="O927" t="str">
        <f t="shared" si="42"/>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_xlfn.XLOOKUP(C928,customers!$A$2:$A$1001,customers!$B$2:$B$1001,,0)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 MATCH(orders!$D928, products!$A$1:$A$49, 0), MATCH(orders!I$1, products!$A$1:$G$1, 0))</f>
        <v>Ara</v>
      </c>
      <c r="J928" t="str">
        <f>INDEX(products!$A$1:$G$49, MATCH(orders!$D928, products!$A$1:$A$49, 0), MATCH(orders!J$1, products!$A$1:$G$1, 0))</f>
        <v>M</v>
      </c>
      <c r="K928" s="5">
        <f>INDEX(products!$A$1:$G$49, MATCH(orders!$D928, products!$A$1:$A$49, 0), MATCH(orders!K$1, products!$A$1:$G$1, 0))</f>
        <v>0.5</v>
      </c>
      <c r="L928" s="6">
        <f>INDEX(products!$A$1:$G$49, MATCH(orders!$D928, products!$A$1:$A$49, 0), MATCH(orders!L$1, products!$A$1:$G$1, 0))</f>
        <v>6.75</v>
      </c>
      <c r="M928" s="6">
        <f t="shared" si="43"/>
        <v>33.75</v>
      </c>
      <c r="N928" t="str">
        <f t="shared" si="44"/>
        <v>Arabica</v>
      </c>
      <c r="O928" t="str">
        <f t="shared" si="42"/>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_xlfn.XLOOKUP(C929,customers!$A$2:$A$1001,customers!$B$2:$B$1001,,0)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 MATCH(orders!$D929, products!$A$1:$A$49, 0), MATCH(orders!I$1, products!$A$1:$G$1, 0))</f>
        <v>Exc</v>
      </c>
      <c r="J929" t="str">
        <f>INDEX(products!$A$1:$G$49, MATCH(orders!$D929, products!$A$1:$A$49, 0), MATCH(orders!J$1, products!$A$1:$G$1, 0))</f>
        <v>D</v>
      </c>
      <c r="K929" s="5">
        <f>INDEX(products!$A$1:$G$49, MATCH(orders!$D929, products!$A$1:$A$49, 0), MATCH(orders!K$1, products!$A$1:$G$1, 0))</f>
        <v>2.5</v>
      </c>
      <c r="L929" s="6">
        <f>INDEX(products!$A$1:$G$49, MATCH(orders!$D929, products!$A$1:$A$49, 0), MATCH(orders!L$1, products!$A$1:$G$1, 0))</f>
        <v>27.945</v>
      </c>
      <c r="M929" s="6">
        <f t="shared" si="43"/>
        <v>111.78</v>
      </c>
      <c r="N929" t="str">
        <f t="shared" si="44"/>
        <v>Excelsa</v>
      </c>
      <c r="O929" t="str">
        <f t="shared" si="42"/>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_xlfn.XLOOKUP(C930,customers!$A$2:$A$1001,customers!$B$2:$B$1001,,0)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 MATCH(orders!$D930, products!$A$1:$A$49, 0), MATCH(orders!I$1, products!$A$1:$G$1, 0))</f>
        <v>Exc</v>
      </c>
      <c r="J930" t="str">
        <f>INDEX(products!$A$1:$G$49, MATCH(orders!$D930, products!$A$1:$A$49, 0), MATCH(orders!J$1, products!$A$1:$G$1, 0))</f>
        <v>M</v>
      </c>
      <c r="K930" s="5">
        <f>INDEX(products!$A$1:$G$49, MATCH(orders!$D930, products!$A$1:$A$49, 0), MATCH(orders!K$1, products!$A$1:$G$1, 0))</f>
        <v>2.5</v>
      </c>
      <c r="L930" s="6">
        <f>INDEX(products!$A$1:$G$49, MATCH(orders!$D930, products!$A$1:$A$49, 0), MATCH(orders!L$1, products!$A$1:$G$1, 0))</f>
        <v>31.624999999999996</v>
      </c>
      <c r="M930" s="6">
        <f t="shared" si="43"/>
        <v>63.249999999999993</v>
      </c>
      <c r="N930" t="str">
        <f t="shared" si="44"/>
        <v>Excelsa</v>
      </c>
      <c r="O930" t="str">
        <f t="shared" si="42"/>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_xlfn.XLOOKUP(C931,customers!$A$2:$A$1001,customers!$B$2:$B$1001,,0)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 MATCH(orders!$D931, products!$A$1:$A$49, 0), MATCH(orders!I$1, products!$A$1:$G$1, 0))</f>
        <v>Exc</v>
      </c>
      <c r="J931" t="str">
        <f>INDEX(products!$A$1:$G$49, MATCH(orders!$D931, products!$A$1:$A$49, 0), MATCH(orders!J$1, products!$A$1:$G$1, 0))</f>
        <v>L</v>
      </c>
      <c r="K931" s="5">
        <f>INDEX(products!$A$1:$G$49, MATCH(orders!$D931, products!$A$1:$A$49, 0), MATCH(orders!K$1, products!$A$1:$G$1, 0))</f>
        <v>0.2</v>
      </c>
      <c r="L931" s="6">
        <f>INDEX(products!$A$1:$G$49, MATCH(orders!$D931, products!$A$1:$A$49, 0), MATCH(orders!L$1, products!$A$1:$G$1, 0))</f>
        <v>4.4550000000000001</v>
      </c>
      <c r="M931" s="6">
        <f t="shared" si="43"/>
        <v>8.91</v>
      </c>
      <c r="N931" t="str">
        <f t="shared" si="44"/>
        <v>Excelsa</v>
      </c>
      <c r="O931" t="str">
        <f t="shared" si="42"/>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_xlfn.XLOOKUP(C932,customers!$A$2:$A$1001,customers!$B$2:$B$1001,,0)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 MATCH(orders!$D932, products!$A$1:$A$49, 0), MATCH(orders!I$1, products!$A$1:$G$1, 0))</f>
        <v>Exc</v>
      </c>
      <c r="J932" t="str">
        <f>INDEX(products!$A$1:$G$49, MATCH(orders!$D932, products!$A$1:$A$49, 0), MATCH(orders!J$1, products!$A$1:$G$1, 0))</f>
        <v>D</v>
      </c>
      <c r="K932" s="5">
        <f>INDEX(products!$A$1:$G$49, MATCH(orders!$D932, products!$A$1:$A$49, 0), MATCH(orders!K$1, products!$A$1:$G$1, 0))</f>
        <v>1</v>
      </c>
      <c r="L932" s="6">
        <f>INDEX(products!$A$1:$G$49, MATCH(orders!$D932, products!$A$1:$A$49, 0), MATCH(orders!L$1, products!$A$1:$G$1, 0))</f>
        <v>12.15</v>
      </c>
      <c r="M932" s="6">
        <f t="shared" si="43"/>
        <v>12.15</v>
      </c>
      <c r="N932" t="str">
        <f t="shared" si="44"/>
        <v>Excelsa</v>
      </c>
      <c r="O932" t="str">
        <f t="shared" si="42"/>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_xlfn.XLOOKUP(C933,customers!$A$2:$A$1001,customers!$B$2:$B$1001,,0)</f>
        <v>Mallory Shrimpling</v>
      </c>
      <c r="G933" s="2" t="str">
        <f>IF(_xlfn.XLOOKUP(C933,customers!$A$1:$A$1001,customers!$C$1:$C$1001,,0)=0,"",_xlfn.XLOOKUP(C933,customers!$A$1:$A$1001,customers!$C$1:$C$1001,,0))</f>
        <v/>
      </c>
      <c r="H933" s="2" t="str">
        <f>_xlfn.XLOOKUP(C933,customers!$A$1:$A$1001,customers!$G$1:$G$1001,,0)</f>
        <v>United States</v>
      </c>
      <c r="I933" t="str">
        <f>INDEX(products!$A$1:$G$49, MATCH(orders!$D933, products!$A$1:$A$49, 0), MATCH(orders!I$1, products!$A$1:$G$1, 0))</f>
        <v>Ara</v>
      </c>
      <c r="J933" t="str">
        <f>INDEX(products!$A$1:$G$49, MATCH(orders!$D933, products!$A$1:$A$49, 0), MATCH(orders!J$1, products!$A$1:$G$1, 0))</f>
        <v>D</v>
      </c>
      <c r="K933" s="5">
        <f>INDEX(products!$A$1:$G$49, MATCH(orders!$D933, products!$A$1:$A$49, 0), MATCH(orders!K$1, products!$A$1:$G$1, 0))</f>
        <v>0.5</v>
      </c>
      <c r="L933" s="6">
        <f>INDEX(products!$A$1:$G$49, MATCH(orders!$D933, products!$A$1:$A$49, 0), MATCH(orders!L$1, products!$A$1:$G$1, 0))</f>
        <v>5.97</v>
      </c>
      <c r="M933" s="6">
        <f t="shared" si="43"/>
        <v>23.88</v>
      </c>
      <c r="N933" t="str">
        <f t="shared" si="44"/>
        <v>Arabica</v>
      </c>
      <c r="O933" t="str">
        <f t="shared" si="42"/>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_xlfn.XLOOKUP(C934,customers!$A$2:$A$1001,customers!$B$2:$B$1001,,0)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 MATCH(orders!$D934, products!$A$1:$A$49, 0), MATCH(orders!I$1, products!$A$1:$G$1, 0))</f>
        <v>Exc</v>
      </c>
      <c r="J934" t="str">
        <f>INDEX(products!$A$1:$G$49, MATCH(orders!$D934, products!$A$1:$A$49, 0), MATCH(orders!J$1, products!$A$1:$G$1, 0))</f>
        <v>M</v>
      </c>
      <c r="K934" s="5">
        <f>INDEX(products!$A$1:$G$49, MATCH(orders!$D934, products!$A$1:$A$49, 0), MATCH(orders!K$1, products!$A$1:$G$1, 0))</f>
        <v>1</v>
      </c>
      <c r="L934" s="6">
        <f>INDEX(products!$A$1:$G$49, MATCH(orders!$D934, products!$A$1:$A$49, 0), MATCH(orders!L$1, products!$A$1:$G$1, 0))</f>
        <v>13.75</v>
      </c>
      <c r="M934" s="6">
        <f t="shared" si="43"/>
        <v>55</v>
      </c>
      <c r="N934" t="str">
        <f t="shared" si="44"/>
        <v>Excelsa</v>
      </c>
      <c r="O934" t="str">
        <f t="shared" si="42"/>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_xlfn.XLOOKUP(C935,customers!$A$2:$A$1001,customers!$B$2:$B$1001,,0)</f>
        <v>Brenn Dundredge</v>
      </c>
      <c r="G935" s="2" t="str">
        <f>IF(_xlfn.XLOOKUP(C935,customers!$A$1:$A$1001,customers!$C$1:$C$1001,,0)=0,"",_xlfn.XLOOKUP(C935,customers!$A$1:$A$1001,customers!$C$1:$C$1001,,0))</f>
        <v/>
      </c>
      <c r="H935" s="2" t="str">
        <f>_xlfn.XLOOKUP(C935,customers!$A$1:$A$1001,customers!$G$1:$G$1001,,0)</f>
        <v>United States</v>
      </c>
      <c r="I935" t="str">
        <f>INDEX(products!$A$1:$G$49, MATCH(orders!$D935, products!$A$1:$A$49, 0), MATCH(orders!I$1, products!$A$1:$G$1, 0))</f>
        <v>Rob</v>
      </c>
      <c r="J935" t="str">
        <f>INDEX(products!$A$1:$G$49, MATCH(orders!$D935, products!$A$1:$A$49, 0), MATCH(orders!J$1, products!$A$1:$G$1, 0))</f>
        <v>D</v>
      </c>
      <c r="K935" s="5">
        <f>INDEX(products!$A$1:$G$49, MATCH(orders!$D935, products!$A$1:$A$49, 0), MATCH(orders!K$1, products!$A$1:$G$1, 0))</f>
        <v>1</v>
      </c>
      <c r="L935" s="6">
        <f>INDEX(products!$A$1:$G$49, MATCH(orders!$D935, products!$A$1:$A$49, 0), MATCH(orders!L$1, products!$A$1:$G$1, 0))</f>
        <v>8.9499999999999993</v>
      </c>
      <c r="M935" s="6">
        <f t="shared" si="43"/>
        <v>26.849999999999998</v>
      </c>
      <c r="N935" t="str">
        <f t="shared" si="44"/>
        <v>Robusta</v>
      </c>
      <c r="O935" t="str">
        <f t="shared" si="42"/>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_xlfn.XLOOKUP(C936,customers!$A$2:$A$1001,customers!$B$2:$B$1001,,0)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 MATCH(orders!$D936, products!$A$1:$A$49, 0), MATCH(orders!I$1, products!$A$1:$G$1, 0))</f>
        <v>Rob</v>
      </c>
      <c r="J936" t="str">
        <f>INDEX(products!$A$1:$G$49, MATCH(orders!$D936, products!$A$1:$A$49, 0), MATCH(orders!J$1, products!$A$1:$G$1, 0))</f>
        <v>M</v>
      </c>
      <c r="K936" s="5">
        <f>INDEX(products!$A$1:$G$49, MATCH(orders!$D936, products!$A$1:$A$49, 0), MATCH(orders!K$1, products!$A$1:$G$1, 0))</f>
        <v>2.5</v>
      </c>
      <c r="L936" s="6">
        <f>INDEX(products!$A$1:$G$49, MATCH(orders!$D936, products!$A$1:$A$49, 0), MATCH(orders!L$1, products!$A$1:$G$1, 0))</f>
        <v>22.884999999999998</v>
      </c>
      <c r="M936" s="6">
        <f t="shared" si="43"/>
        <v>114.42499999999998</v>
      </c>
      <c r="N936" t="str">
        <f t="shared" si="44"/>
        <v>Robusta</v>
      </c>
      <c r="O936" t="str">
        <f t="shared" si="42"/>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_xlfn.XLOOKUP(C937,customers!$A$2:$A$1001,customers!$B$2:$B$1001,,0)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 MATCH(orders!$D937, products!$A$1:$A$49, 0), MATCH(orders!I$1, products!$A$1:$G$1, 0))</f>
        <v>Ara</v>
      </c>
      <c r="J937" t="str">
        <f>INDEX(products!$A$1:$G$49, MATCH(orders!$D937, products!$A$1:$A$49, 0), MATCH(orders!J$1, products!$A$1:$G$1, 0))</f>
        <v>M</v>
      </c>
      <c r="K937" s="5">
        <f>INDEX(products!$A$1:$G$49, MATCH(orders!$D937, products!$A$1:$A$49, 0), MATCH(orders!K$1, products!$A$1:$G$1, 0))</f>
        <v>2.5</v>
      </c>
      <c r="L937" s="6">
        <f>INDEX(products!$A$1:$G$49, MATCH(orders!$D937, products!$A$1:$A$49, 0), MATCH(orders!L$1, products!$A$1:$G$1, 0))</f>
        <v>25.874999999999996</v>
      </c>
      <c r="M937" s="6">
        <f t="shared" si="43"/>
        <v>155.24999999999997</v>
      </c>
      <c r="N937" t="str">
        <f t="shared" si="44"/>
        <v>Arabica</v>
      </c>
      <c r="O937" t="str">
        <f t="shared" si="42"/>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_xlfn.XLOOKUP(C938,customers!$A$2:$A$1001,customers!$B$2:$B$1001,,0)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 MATCH(orders!$D938, products!$A$1:$A$49, 0), MATCH(orders!I$1, products!$A$1:$G$1, 0))</f>
        <v>Lib</v>
      </c>
      <c r="J938" t="str">
        <f>INDEX(products!$A$1:$G$49, MATCH(orders!$D938, products!$A$1:$A$49, 0), MATCH(orders!J$1, products!$A$1:$G$1, 0))</f>
        <v>D</v>
      </c>
      <c r="K938" s="5">
        <f>INDEX(products!$A$1:$G$49, MATCH(orders!$D938, products!$A$1:$A$49, 0), MATCH(orders!K$1, products!$A$1:$G$1, 0))</f>
        <v>0.5</v>
      </c>
      <c r="L938" s="6">
        <f>INDEX(products!$A$1:$G$49, MATCH(orders!$D938, products!$A$1:$A$49, 0), MATCH(orders!L$1, products!$A$1:$G$1, 0))</f>
        <v>7.77</v>
      </c>
      <c r="M938" s="6">
        <f t="shared" si="43"/>
        <v>23.31</v>
      </c>
      <c r="N938" t="str">
        <f t="shared" si="44"/>
        <v>Liberica</v>
      </c>
      <c r="O938" t="str">
        <f t="shared" si="42"/>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_xlfn.XLOOKUP(C939,customers!$A$2:$A$1001,customers!$B$2:$B$1001,,0)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 MATCH(orders!$D939, products!$A$1:$A$49, 0), MATCH(orders!I$1, products!$A$1:$G$1, 0))</f>
        <v>Rob</v>
      </c>
      <c r="J939" t="str">
        <f>INDEX(products!$A$1:$G$49, MATCH(orders!$D939, products!$A$1:$A$49, 0), MATCH(orders!J$1, products!$A$1:$G$1, 0))</f>
        <v>M</v>
      </c>
      <c r="K939" s="5">
        <f>INDEX(products!$A$1:$G$49, MATCH(orders!$D939, products!$A$1:$A$49, 0), MATCH(orders!K$1, products!$A$1:$G$1, 0))</f>
        <v>2.5</v>
      </c>
      <c r="L939" s="6">
        <f>INDEX(products!$A$1:$G$49, MATCH(orders!$D939, products!$A$1:$A$49, 0), MATCH(orders!L$1, products!$A$1:$G$1, 0))</f>
        <v>22.884999999999998</v>
      </c>
      <c r="M939" s="6">
        <f t="shared" si="43"/>
        <v>91.539999999999992</v>
      </c>
      <c r="N939" t="str">
        <f t="shared" si="44"/>
        <v>Robusta</v>
      </c>
      <c r="O939" t="str">
        <f t="shared" si="42"/>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_xlfn.XLOOKUP(C940,customers!$A$2:$A$1001,customers!$B$2:$B$1001,,0)</f>
        <v>Dell Gut</v>
      </c>
      <c r="G940" s="2" t="str">
        <f>IF(_xlfn.XLOOKUP(C940,customers!$A$1:$A$1001,customers!$C$1:$C$1001,,0)=0,"",_xlfn.XLOOKUP(C940,customers!$A$1:$A$1001,customers!$C$1:$C$1001,,0))</f>
        <v>dgutq2@umich.edu</v>
      </c>
      <c r="H940" s="2" t="str">
        <f>_xlfn.XLOOKUP(C940,customers!$A$1:$A$1001,customers!$G$1:$G$1001,,0)</f>
        <v>United States</v>
      </c>
      <c r="I940" t="str">
        <f>INDEX(products!$A$1:$G$49, MATCH(orders!$D940, products!$A$1:$A$49, 0), MATCH(orders!I$1, products!$A$1:$G$1, 0))</f>
        <v>Exc</v>
      </c>
      <c r="J940" t="str">
        <f>INDEX(products!$A$1:$G$49, MATCH(orders!$D940, products!$A$1:$A$49, 0), MATCH(orders!J$1, products!$A$1:$G$1, 0))</f>
        <v>L</v>
      </c>
      <c r="K940" s="5">
        <f>INDEX(products!$A$1:$G$49, MATCH(orders!$D940, products!$A$1:$A$49, 0), MATCH(orders!K$1, products!$A$1:$G$1, 0))</f>
        <v>1</v>
      </c>
      <c r="L940" s="6">
        <f>INDEX(products!$A$1:$G$49, MATCH(orders!$D940, products!$A$1:$A$49, 0), MATCH(orders!L$1, products!$A$1:$G$1, 0))</f>
        <v>14.85</v>
      </c>
      <c r="M940" s="6">
        <f t="shared" si="43"/>
        <v>74.25</v>
      </c>
      <c r="N940" t="str">
        <f t="shared" si="44"/>
        <v>Excelsa</v>
      </c>
      <c r="O940" t="str">
        <f t="shared" si="42"/>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_xlfn.XLOOKUP(C941,customers!$A$2:$A$1001,customers!$B$2:$B$1001,,0)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 MATCH(orders!$D941, products!$A$1:$A$49, 0), MATCH(orders!I$1, products!$A$1:$G$1, 0))</f>
        <v>Lib</v>
      </c>
      <c r="J941" t="str">
        <f>INDEX(products!$A$1:$G$49, MATCH(orders!$D941, products!$A$1:$A$49, 0), MATCH(orders!J$1, products!$A$1:$G$1, 0))</f>
        <v>L</v>
      </c>
      <c r="K941" s="5">
        <f>INDEX(products!$A$1:$G$49, MATCH(orders!$D941, products!$A$1:$A$49, 0), MATCH(orders!K$1, products!$A$1:$G$1, 0))</f>
        <v>0.2</v>
      </c>
      <c r="L941" s="6">
        <f>INDEX(products!$A$1:$G$49, MATCH(orders!$D941, products!$A$1:$A$49, 0), MATCH(orders!L$1, products!$A$1:$G$1, 0))</f>
        <v>4.7549999999999999</v>
      </c>
      <c r="M941" s="6">
        <f t="shared" si="43"/>
        <v>28.53</v>
      </c>
      <c r="N941" t="str">
        <f t="shared" si="44"/>
        <v>Liberica</v>
      </c>
      <c r="O941" t="str">
        <f t="shared" si="42"/>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_xlfn.XLOOKUP(C942,customers!$A$2:$A$1001,customers!$B$2:$B$1001,,0)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 MATCH(orders!$D942, products!$A$1:$A$49, 0), MATCH(orders!I$1, products!$A$1:$G$1, 0))</f>
        <v>Rob</v>
      </c>
      <c r="J942" t="str">
        <f>INDEX(products!$A$1:$G$49, MATCH(orders!$D942, products!$A$1:$A$49, 0), MATCH(orders!J$1, products!$A$1:$G$1, 0))</f>
        <v>L</v>
      </c>
      <c r="K942" s="5">
        <f>INDEX(products!$A$1:$G$49, MATCH(orders!$D942, products!$A$1:$A$49, 0), MATCH(orders!K$1, products!$A$1:$G$1, 0))</f>
        <v>0.5</v>
      </c>
      <c r="L942" s="6">
        <f>INDEX(products!$A$1:$G$49, MATCH(orders!$D942, products!$A$1:$A$49, 0), MATCH(orders!L$1, products!$A$1:$G$1, 0))</f>
        <v>7.169999999999999</v>
      </c>
      <c r="M942" s="6">
        <f t="shared" si="43"/>
        <v>14.339999999999998</v>
      </c>
      <c r="N942" t="str">
        <f t="shared" si="44"/>
        <v>Robusta</v>
      </c>
      <c r="O942" t="str">
        <f t="shared" si="42"/>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_xlfn.XLOOKUP(C943,customers!$A$2:$A$1001,customers!$B$2:$B$1001,,0)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 MATCH(orders!$D943, products!$A$1:$A$49, 0), MATCH(orders!I$1, products!$A$1:$G$1, 0))</f>
        <v>Ara</v>
      </c>
      <c r="J943" t="str">
        <f>INDEX(products!$A$1:$G$49, MATCH(orders!$D943, products!$A$1:$A$49, 0), MATCH(orders!J$1, products!$A$1:$G$1, 0))</f>
        <v>L</v>
      </c>
      <c r="K943" s="5">
        <f>INDEX(products!$A$1:$G$49, MATCH(orders!$D943, products!$A$1:$A$49, 0), MATCH(orders!K$1, products!$A$1:$G$1, 0))</f>
        <v>0.5</v>
      </c>
      <c r="L943" s="6">
        <f>INDEX(products!$A$1:$G$49, MATCH(orders!$D943, products!$A$1:$A$49, 0), MATCH(orders!L$1, products!$A$1:$G$1, 0))</f>
        <v>7.77</v>
      </c>
      <c r="M943" s="6">
        <f t="shared" si="43"/>
        <v>15.54</v>
      </c>
      <c r="N943" t="str">
        <f t="shared" si="44"/>
        <v>Arabica</v>
      </c>
      <c r="O943" t="str">
        <f t="shared" si="42"/>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_xlfn.XLOOKUP(C944,customers!$A$2:$A$1001,customers!$B$2:$B$1001,,0)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 MATCH(orders!$D944, products!$A$1:$A$49, 0), MATCH(orders!I$1, products!$A$1:$G$1, 0))</f>
        <v>Rob</v>
      </c>
      <c r="J944" t="str">
        <f>INDEX(products!$A$1:$G$49, MATCH(orders!$D944, products!$A$1:$A$49, 0), MATCH(orders!J$1, products!$A$1:$G$1, 0))</f>
        <v>L</v>
      </c>
      <c r="K944" s="5">
        <f>INDEX(products!$A$1:$G$49, MATCH(orders!$D944, products!$A$1:$A$49, 0), MATCH(orders!K$1, products!$A$1:$G$1, 0))</f>
        <v>1</v>
      </c>
      <c r="L944" s="6">
        <f>INDEX(products!$A$1:$G$49, MATCH(orders!$D944, products!$A$1:$A$49, 0), MATCH(orders!L$1, products!$A$1:$G$1, 0))</f>
        <v>11.95</v>
      </c>
      <c r="M944" s="6">
        <f t="shared" si="43"/>
        <v>35.849999999999994</v>
      </c>
      <c r="N944" t="str">
        <f t="shared" si="44"/>
        <v>Robusta</v>
      </c>
      <c r="O944" t="str">
        <f t="shared" si="42"/>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_xlfn.XLOOKUP(C945,customers!$A$2:$A$1001,customers!$B$2:$B$1001,,0)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 MATCH(orders!$D945, products!$A$1:$A$49, 0), MATCH(orders!I$1, products!$A$1:$G$1, 0))</f>
        <v>Ara</v>
      </c>
      <c r="J945" t="str">
        <f>INDEX(products!$A$1:$G$49, MATCH(orders!$D945, products!$A$1:$A$49, 0), MATCH(orders!J$1, products!$A$1:$G$1, 0))</f>
        <v>L</v>
      </c>
      <c r="K945" s="5">
        <f>INDEX(products!$A$1:$G$49, MATCH(orders!$D945, products!$A$1:$A$49, 0), MATCH(orders!K$1, products!$A$1:$G$1, 0))</f>
        <v>0.5</v>
      </c>
      <c r="L945" s="6">
        <f>INDEX(products!$A$1:$G$49, MATCH(orders!$D945, products!$A$1:$A$49, 0), MATCH(orders!L$1, products!$A$1:$G$1, 0))</f>
        <v>7.77</v>
      </c>
      <c r="M945" s="6">
        <f t="shared" si="43"/>
        <v>46.62</v>
      </c>
      <c r="N945" t="str">
        <f t="shared" si="44"/>
        <v>Arabica</v>
      </c>
      <c r="O945" t="str">
        <f t="shared" si="42"/>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_xlfn.XLOOKUP(C946,customers!$A$2:$A$1001,customers!$B$2:$B$1001,,0)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 MATCH(orders!$D946, products!$A$1:$A$49, 0), MATCH(orders!I$1, products!$A$1:$G$1, 0))</f>
        <v>Rob</v>
      </c>
      <c r="J946" t="str">
        <f>INDEX(products!$A$1:$G$49, MATCH(orders!$D946, products!$A$1:$A$49, 0), MATCH(orders!J$1, products!$A$1:$G$1, 0))</f>
        <v>L</v>
      </c>
      <c r="K946" s="5">
        <f>INDEX(products!$A$1:$G$49, MATCH(orders!$D946, products!$A$1:$A$49, 0), MATCH(orders!K$1, products!$A$1:$G$1, 0))</f>
        <v>0.5</v>
      </c>
      <c r="L946" s="6">
        <f>INDEX(products!$A$1:$G$49, MATCH(orders!$D946, products!$A$1:$A$49, 0), MATCH(orders!L$1, products!$A$1:$G$1, 0))</f>
        <v>7.169999999999999</v>
      </c>
      <c r="M946" s="6">
        <f t="shared" si="43"/>
        <v>35.849999999999994</v>
      </c>
      <c r="N946" t="str">
        <f t="shared" si="44"/>
        <v>Robusta</v>
      </c>
      <c r="O946" t="str">
        <f t="shared" si="42"/>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_xlfn.XLOOKUP(C947,customers!$A$2:$A$1001,customers!$B$2:$B$1001,,0)</f>
        <v>Jaimie Hatz</v>
      </c>
      <c r="G947" s="2" t="str">
        <f>IF(_xlfn.XLOOKUP(C947,customers!$A$1:$A$1001,customers!$C$1:$C$1001,,0)=0,"",_xlfn.XLOOKUP(C947,customers!$A$1:$A$1001,customers!$C$1:$C$1001,,0))</f>
        <v/>
      </c>
      <c r="H947" s="2" t="str">
        <f>_xlfn.XLOOKUP(C947,customers!$A$1:$A$1001,customers!$G$1:$G$1001,,0)</f>
        <v>United States</v>
      </c>
      <c r="I947" t="str">
        <f>INDEX(products!$A$1:$G$49, MATCH(orders!$D947, products!$A$1:$A$49, 0), MATCH(orders!I$1, products!$A$1:$G$1, 0))</f>
        <v>Lib</v>
      </c>
      <c r="J947" t="str">
        <f>INDEX(products!$A$1:$G$49, MATCH(orders!$D947, products!$A$1:$A$49, 0), MATCH(orders!J$1, products!$A$1:$G$1, 0))</f>
        <v>D</v>
      </c>
      <c r="K947" s="5">
        <f>INDEX(products!$A$1:$G$49, MATCH(orders!$D947, products!$A$1:$A$49, 0), MATCH(orders!K$1, products!$A$1:$G$1, 0))</f>
        <v>2.5</v>
      </c>
      <c r="L947" s="6">
        <f>INDEX(products!$A$1:$G$49, MATCH(orders!$D947, products!$A$1:$A$49, 0), MATCH(orders!L$1, products!$A$1:$G$1, 0))</f>
        <v>29.784999999999997</v>
      </c>
      <c r="M947" s="6">
        <f t="shared" si="43"/>
        <v>119.13999999999999</v>
      </c>
      <c r="N947" t="str">
        <f t="shared" si="44"/>
        <v>Liberica</v>
      </c>
      <c r="O947" t="str">
        <f t="shared" si="42"/>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_xlfn.XLOOKUP(C948,customers!$A$2:$A$1001,customers!$B$2:$B$1001,,0)</f>
        <v>Edeline Edney</v>
      </c>
      <c r="G948" s="2" t="str">
        <f>IF(_xlfn.XLOOKUP(C948,customers!$A$1:$A$1001,customers!$C$1:$C$1001,,0)=0,"",_xlfn.XLOOKUP(C948,customers!$A$1:$A$1001,customers!$C$1:$C$1001,,0))</f>
        <v/>
      </c>
      <c r="H948" s="2" t="str">
        <f>_xlfn.XLOOKUP(C948,customers!$A$1:$A$1001,customers!$G$1:$G$1001,,0)</f>
        <v>United States</v>
      </c>
      <c r="I948" t="str">
        <f>INDEX(products!$A$1:$G$49, MATCH(orders!$D948, products!$A$1:$A$49, 0), MATCH(orders!I$1, products!$A$1:$G$1, 0))</f>
        <v>Lib</v>
      </c>
      <c r="J948" t="str">
        <f>INDEX(products!$A$1:$G$49, MATCH(orders!$D948, products!$A$1:$A$49, 0), MATCH(orders!J$1, products!$A$1:$G$1, 0))</f>
        <v>D</v>
      </c>
      <c r="K948" s="5">
        <f>INDEX(products!$A$1:$G$49, MATCH(orders!$D948, products!$A$1:$A$49, 0), MATCH(orders!K$1, products!$A$1:$G$1, 0))</f>
        <v>0.5</v>
      </c>
      <c r="L948" s="6">
        <f>INDEX(products!$A$1:$G$49, MATCH(orders!$D948, products!$A$1:$A$49, 0), MATCH(orders!L$1, products!$A$1:$G$1, 0))</f>
        <v>7.77</v>
      </c>
      <c r="M948" s="6">
        <f t="shared" si="43"/>
        <v>23.31</v>
      </c>
      <c r="N948" t="str">
        <f t="shared" si="44"/>
        <v>Liberica</v>
      </c>
      <c r="O948" t="str">
        <f t="shared" si="42"/>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_xlfn.XLOOKUP(C949,customers!$A$2:$A$1001,customers!$B$2:$B$1001,,0)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 MATCH(orders!$D949, products!$A$1:$A$49, 0), MATCH(orders!I$1, products!$A$1:$G$1, 0))</f>
        <v>Ara</v>
      </c>
      <c r="J949" t="str">
        <f>INDEX(products!$A$1:$G$49, MATCH(orders!$D949, products!$A$1:$A$49, 0), MATCH(orders!J$1, products!$A$1:$G$1, 0))</f>
        <v>M</v>
      </c>
      <c r="K949" s="5">
        <f>INDEX(products!$A$1:$G$49, MATCH(orders!$D949, products!$A$1:$A$49, 0), MATCH(orders!K$1, products!$A$1:$G$1, 0))</f>
        <v>1</v>
      </c>
      <c r="L949" s="6">
        <f>INDEX(products!$A$1:$G$49, MATCH(orders!$D949, products!$A$1:$A$49, 0), MATCH(orders!L$1, products!$A$1:$G$1, 0))</f>
        <v>11.25</v>
      </c>
      <c r="M949" s="6">
        <f t="shared" si="43"/>
        <v>11.25</v>
      </c>
      <c r="N949" t="str">
        <f t="shared" si="44"/>
        <v>Arabica</v>
      </c>
      <c r="O949" t="str">
        <f t="shared" si="42"/>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_xlfn.XLOOKUP(C950,customers!$A$2:$A$1001,customers!$B$2:$B$1001,,0)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 MATCH(orders!$D950, products!$A$1:$A$49, 0), MATCH(orders!I$1, products!$A$1:$G$1, 0))</f>
        <v>Exc</v>
      </c>
      <c r="J950" t="str">
        <f>INDEX(products!$A$1:$G$49, MATCH(orders!$D950, products!$A$1:$A$49, 0), MATCH(orders!J$1, products!$A$1:$G$1, 0))</f>
        <v>D</v>
      </c>
      <c r="K950" s="5">
        <f>INDEX(products!$A$1:$G$49, MATCH(orders!$D950, products!$A$1:$A$49, 0), MATCH(orders!K$1, products!$A$1:$G$1, 0))</f>
        <v>2.5</v>
      </c>
      <c r="L950" s="6">
        <f>INDEX(products!$A$1:$G$49, MATCH(orders!$D950, products!$A$1:$A$49, 0), MATCH(orders!L$1, products!$A$1:$G$1, 0))</f>
        <v>27.945</v>
      </c>
      <c r="M950" s="6">
        <f t="shared" si="43"/>
        <v>83.835000000000008</v>
      </c>
      <c r="N950" t="str">
        <f t="shared" si="44"/>
        <v>Excelsa</v>
      </c>
      <c r="O950" t="str">
        <f t="shared" si="42"/>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_xlfn.XLOOKUP(C951,customers!$A$2:$A$1001,customers!$B$2:$B$1001,,0)</f>
        <v>Gwenni Ratt</v>
      </c>
      <c r="G951" s="2" t="str">
        <f>IF(_xlfn.XLOOKUP(C951,customers!$A$1:$A$1001,customers!$C$1:$C$1001,,0)=0,"",_xlfn.XLOOKUP(C951,customers!$A$1:$A$1001,customers!$C$1:$C$1001,,0))</f>
        <v>grattqd@phpbb.com</v>
      </c>
      <c r="H951" s="2" t="str">
        <f>_xlfn.XLOOKUP(C951,customers!$A$1:$A$1001,customers!$G$1:$G$1001,,0)</f>
        <v>Ireland</v>
      </c>
      <c r="I951" t="str">
        <f>INDEX(products!$A$1:$G$49, MATCH(orders!$D951, products!$A$1:$A$49, 0), MATCH(orders!I$1, products!$A$1:$G$1, 0))</f>
        <v>Rob</v>
      </c>
      <c r="J951" t="str">
        <f>INDEX(products!$A$1:$G$49, MATCH(orders!$D951, products!$A$1:$A$49, 0), MATCH(orders!J$1, products!$A$1:$G$1, 0))</f>
        <v>L</v>
      </c>
      <c r="K951" s="5">
        <f>INDEX(products!$A$1:$G$49, MATCH(orders!$D951, products!$A$1:$A$49, 0), MATCH(orders!K$1, products!$A$1:$G$1, 0))</f>
        <v>2.5</v>
      </c>
      <c r="L951" s="6">
        <f>INDEX(products!$A$1:$G$49, MATCH(orders!$D951, products!$A$1:$A$49, 0), MATCH(orders!L$1, products!$A$1:$G$1, 0))</f>
        <v>27.484999999999996</v>
      </c>
      <c r="M951" s="6">
        <f t="shared" si="43"/>
        <v>109.93999999999998</v>
      </c>
      <c r="N951" t="str">
        <f t="shared" si="44"/>
        <v>Robusta</v>
      </c>
      <c r="O951" t="str">
        <f t="shared" si="42"/>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_xlfn.XLOOKUP(C952,customers!$A$2:$A$1001,customers!$B$2:$B$1001,,0)</f>
        <v>Johnath Fairebrother</v>
      </c>
      <c r="G952" s="2" t="str">
        <f>IF(_xlfn.XLOOKUP(C952,customers!$A$1:$A$1001,customers!$C$1:$C$1001,,0)=0,"",_xlfn.XLOOKUP(C952,customers!$A$1:$A$1001,customers!$C$1:$C$1001,,0))</f>
        <v/>
      </c>
      <c r="H952" s="2" t="str">
        <f>_xlfn.XLOOKUP(C952,customers!$A$1:$A$1001,customers!$G$1:$G$1001,,0)</f>
        <v>United States</v>
      </c>
      <c r="I952" t="str">
        <f>INDEX(products!$A$1:$G$49, MATCH(orders!$D952, products!$A$1:$A$49, 0), MATCH(orders!I$1, products!$A$1:$G$1, 0))</f>
        <v>Rob</v>
      </c>
      <c r="J952" t="str">
        <f>INDEX(products!$A$1:$G$49, MATCH(orders!$D952, products!$A$1:$A$49, 0), MATCH(orders!J$1, products!$A$1:$G$1, 0))</f>
        <v>L</v>
      </c>
      <c r="K952" s="5">
        <f>INDEX(products!$A$1:$G$49, MATCH(orders!$D952, products!$A$1:$A$49, 0), MATCH(orders!K$1, products!$A$1:$G$1, 0))</f>
        <v>0.2</v>
      </c>
      <c r="L952" s="6">
        <f>INDEX(products!$A$1:$G$49, MATCH(orders!$D952, products!$A$1:$A$49, 0), MATCH(orders!L$1, products!$A$1:$G$1, 0))</f>
        <v>3.5849999999999995</v>
      </c>
      <c r="M952" s="6">
        <f t="shared" si="43"/>
        <v>14.339999999999998</v>
      </c>
      <c r="N952" t="str">
        <f t="shared" si="44"/>
        <v>Robusta</v>
      </c>
      <c r="O952" t="str">
        <f t="shared" si="42"/>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_xlfn.XLOOKUP(C953,customers!$A$2:$A$1001,customers!$B$2:$B$1001,,0)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 MATCH(orders!$D953, products!$A$1:$A$49, 0), MATCH(orders!I$1, products!$A$1:$G$1, 0))</f>
        <v>Rob</v>
      </c>
      <c r="J953" t="str">
        <f>INDEX(products!$A$1:$G$49, MATCH(orders!$D953, products!$A$1:$A$49, 0), MATCH(orders!J$1, products!$A$1:$G$1, 0))</f>
        <v>L</v>
      </c>
      <c r="K953" s="5">
        <f>INDEX(products!$A$1:$G$49, MATCH(orders!$D953, products!$A$1:$A$49, 0), MATCH(orders!K$1, products!$A$1:$G$1, 0))</f>
        <v>0.2</v>
      </c>
      <c r="L953" s="6">
        <f>INDEX(products!$A$1:$G$49, MATCH(orders!$D953, products!$A$1:$A$49, 0), MATCH(orders!L$1, products!$A$1:$G$1, 0))</f>
        <v>3.5849999999999995</v>
      </c>
      <c r="M953" s="6">
        <f t="shared" si="43"/>
        <v>21.509999999999998</v>
      </c>
      <c r="N953" t="str">
        <f t="shared" si="44"/>
        <v>Robusta</v>
      </c>
      <c r="O953" t="str">
        <f t="shared" si="42"/>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_xlfn.XLOOKUP(C954,customers!$A$2:$A$1001,customers!$B$2:$B$1001,,0)</f>
        <v>Jilly Dreng</v>
      </c>
      <c r="G954" s="2" t="str">
        <f>IF(_xlfn.XLOOKUP(C954,customers!$A$1:$A$1001,customers!$C$1:$C$1001,,0)=0,"",_xlfn.XLOOKUP(C954,customers!$A$1:$A$1001,customers!$C$1:$C$1001,,0))</f>
        <v>jdrengqg@uiuc.edu</v>
      </c>
      <c r="H954" s="2" t="str">
        <f>_xlfn.XLOOKUP(C954,customers!$A$1:$A$1001,customers!$G$1:$G$1001,,0)</f>
        <v>Ireland</v>
      </c>
      <c r="I954" t="str">
        <f>INDEX(products!$A$1:$G$49, MATCH(orders!$D954, products!$A$1:$A$49, 0), MATCH(orders!I$1, products!$A$1:$G$1, 0))</f>
        <v>Ara</v>
      </c>
      <c r="J954" t="str">
        <f>INDEX(products!$A$1:$G$49, MATCH(orders!$D954, products!$A$1:$A$49, 0), MATCH(orders!J$1, products!$A$1:$G$1, 0))</f>
        <v>M</v>
      </c>
      <c r="K954" s="5">
        <f>INDEX(products!$A$1:$G$49, MATCH(orders!$D954, products!$A$1:$A$49, 0), MATCH(orders!K$1, products!$A$1:$G$1, 0))</f>
        <v>1</v>
      </c>
      <c r="L954" s="6">
        <f>INDEX(products!$A$1:$G$49, MATCH(orders!$D954, products!$A$1:$A$49, 0), MATCH(orders!L$1, products!$A$1:$G$1, 0))</f>
        <v>11.25</v>
      </c>
      <c r="M954" s="6">
        <f t="shared" si="43"/>
        <v>22.5</v>
      </c>
      <c r="N954" t="str">
        <f t="shared" si="44"/>
        <v>Arabica</v>
      </c>
      <c r="O954" t="str">
        <f t="shared" si="42"/>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_xlfn.XLOOKUP(C955,customers!$A$2:$A$1001,customers!$B$2:$B$1001,,0)</f>
        <v>Brenn Dundredge</v>
      </c>
      <c r="G955" s="2" t="str">
        <f>IF(_xlfn.XLOOKUP(C955,customers!$A$1:$A$1001,customers!$C$1:$C$1001,,0)=0,"",_xlfn.XLOOKUP(C955,customers!$A$1:$A$1001,customers!$C$1:$C$1001,,0))</f>
        <v/>
      </c>
      <c r="H955" s="2" t="str">
        <f>_xlfn.XLOOKUP(C955,customers!$A$1:$A$1001,customers!$G$1:$G$1001,,0)</f>
        <v>United States</v>
      </c>
      <c r="I955" t="str">
        <f>INDEX(products!$A$1:$G$49, MATCH(orders!$D955, products!$A$1:$A$49, 0), MATCH(orders!I$1, products!$A$1:$G$1, 0))</f>
        <v>Ara</v>
      </c>
      <c r="J955" t="str">
        <f>INDEX(products!$A$1:$G$49, MATCH(orders!$D955, products!$A$1:$A$49, 0), MATCH(orders!J$1, products!$A$1:$G$1, 0))</f>
        <v>L</v>
      </c>
      <c r="K955" s="5">
        <f>INDEX(products!$A$1:$G$49, MATCH(orders!$D955, products!$A$1:$A$49, 0), MATCH(orders!K$1, products!$A$1:$G$1, 0))</f>
        <v>0.2</v>
      </c>
      <c r="L955" s="6">
        <f>INDEX(products!$A$1:$G$49, MATCH(orders!$D955, products!$A$1:$A$49, 0), MATCH(orders!L$1, products!$A$1:$G$1, 0))</f>
        <v>3.8849999999999998</v>
      </c>
      <c r="M955" s="6">
        <f t="shared" si="43"/>
        <v>3.8849999999999998</v>
      </c>
      <c r="N955" t="str">
        <f t="shared" si="44"/>
        <v>Arabica</v>
      </c>
      <c r="O955" t="str">
        <f t="shared" si="42"/>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_xlfn.XLOOKUP(C956,customers!$A$2:$A$1001,customers!$B$2:$B$1001,,0)</f>
        <v>Brenn Dundredge</v>
      </c>
      <c r="G956" s="2" t="str">
        <f>IF(_xlfn.XLOOKUP(C956,customers!$A$1:$A$1001,customers!$C$1:$C$1001,,0)=0,"",_xlfn.XLOOKUP(C956,customers!$A$1:$A$1001,customers!$C$1:$C$1001,,0))</f>
        <v/>
      </c>
      <c r="H956" s="2" t="str">
        <f>_xlfn.XLOOKUP(C956,customers!$A$1:$A$1001,customers!$G$1:$G$1001,,0)</f>
        <v>United States</v>
      </c>
      <c r="I956" t="str">
        <f>INDEX(products!$A$1:$G$49, MATCH(orders!$D956, products!$A$1:$A$49, 0), MATCH(orders!I$1, products!$A$1:$G$1, 0))</f>
        <v>Exc</v>
      </c>
      <c r="J956" t="str">
        <f>INDEX(products!$A$1:$G$49, MATCH(orders!$D956, products!$A$1:$A$49, 0), MATCH(orders!J$1, products!$A$1:$G$1, 0))</f>
        <v>D</v>
      </c>
      <c r="K956" s="5">
        <f>INDEX(products!$A$1:$G$49, MATCH(orders!$D956, products!$A$1:$A$49, 0), MATCH(orders!K$1, products!$A$1:$G$1, 0))</f>
        <v>2.5</v>
      </c>
      <c r="L956" s="6">
        <f>INDEX(products!$A$1:$G$49, MATCH(orders!$D956, products!$A$1:$A$49, 0), MATCH(orders!L$1, products!$A$1:$G$1, 0))</f>
        <v>27.945</v>
      </c>
      <c r="M956" s="6">
        <f t="shared" si="43"/>
        <v>27.945</v>
      </c>
      <c r="N956" t="str">
        <f t="shared" si="44"/>
        <v>Excelsa</v>
      </c>
      <c r="O956" t="str">
        <f t="shared" si="42"/>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_xlfn.XLOOKUP(C957,customers!$A$2:$A$1001,customers!$B$2:$B$1001,,0)</f>
        <v>Brenn Dundredge</v>
      </c>
      <c r="G957" s="2" t="str">
        <f>IF(_xlfn.XLOOKUP(C957,customers!$A$1:$A$1001,customers!$C$1:$C$1001,,0)=0,"",_xlfn.XLOOKUP(C957,customers!$A$1:$A$1001,customers!$C$1:$C$1001,,0))</f>
        <v/>
      </c>
      <c r="H957" s="2" t="str">
        <f>_xlfn.XLOOKUP(C957,customers!$A$1:$A$1001,customers!$G$1:$G$1001,,0)</f>
        <v>United States</v>
      </c>
      <c r="I957" t="str">
        <f>INDEX(products!$A$1:$G$49, MATCH(orders!$D957, products!$A$1:$A$49, 0), MATCH(orders!I$1, products!$A$1:$G$1, 0))</f>
        <v>Exc</v>
      </c>
      <c r="J957" t="str">
        <f>INDEX(products!$A$1:$G$49, MATCH(orders!$D957, products!$A$1:$A$49, 0), MATCH(orders!J$1, products!$A$1:$G$1, 0))</f>
        <v>L</v>
      </c>
      <c r="K957" s="5">
        <f>INDEX(products!$A$1:$G$49, MATCH(orders!$D957, products!$A$1:$A$49, 0), MATCH(orders!K$1, products!$A$1:$G$1, 0))</f>
        <v>2.5</v>
      </c>
      <c r="L957" s="6">
        <f>INDEX(products!$A$1:$G$49, MATCH(orders!$D957, products!$A$1:$A$49, 0), MATCH(orders!L$1, products!$A$1:$G$1, 0))</f>
        <v>34.154999999999994</v>
      </c>
      <c r="M957" s="6">
        <f t="shared" si="43"/>
        <v>170.77499999999998</v>
      </c>
      <c r="N957" t="str">
        <f t="shared" si="44"/>
        <v>Excelsa</v>
      </c>
      <c r="O957" t="str">
        <f t="shared" si="42"/>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_xlfn.XLOOKUP(C958,customers!$A$2:$A$1001,customers!$B$2:$B$1001,,0)</f>
        <v>Brenn Dundredge</v>
      </c>
      <c r="G958" s="2" t="str">
        <f>IF(_xlfn.XLOOKUP(C958,customers!$A$1:$A$1001,customers!$C$1:$C$1001,,0)=0,"",_xlfn.XLOOKUP(C958,customers!$A$1:$A$1001,customers!$C$1:$C$1001,,0))</f>
        <v/>
      </c>
      <c r="H958" s="2" t="str">
        <f>_xlfn.XLOOKUP(C958,customers!$A$1:$A$1001,customers!$G$1:$G$1001,,0)</f>
        <v>United States</v>
      </c>
      <c r="I958" t="str">
        <f>INDEX(products!$A$1:$G$49, MATCH(orders!$D958, products!$A$1:$A$49, 0), MATCH(orders!I$1, products!$A$1:$G$1, 0))</f>
        <v>Rob</v>
      </c>
      <c r="J958" t="str">
        <f>INDEX(products!$A$1:$G$49, MATCH(orders!$D958, products!$A$1:$A$49, 0), MATCH(orders!J$1, products!$A$1:$G$1, 0))</f>
        <v>L</v>
      </c>
      <c r="K958" s="5">
        <f>INDEX(products!$A$1:$G$49, MATCH(orders!$D958, products!$A$1:$A$49, 0), MATCH(orders!K$1, products!$A$1:$G$1, 0))</f>
        <v>2.5</v>
      </c>
      <c r="L958" s="6">
        <f>INDEX(products!$A$1:$G$49, MATCH(orders!$D958, products!$A$1:$A$49, 0), MATCH(orders!L$1, products!$A$1:$G$1, 0))</f>
        <v>27.484999999999996</v>
      </c>
      <c r="M958" s="6">
        <f t="shared" si="43"/>
        <v>54.969999999999992</v>
      </c>
      <c r="N958" t="str">
        <f t="shared" si="44"/>
        <v>Robusta</v>
      </c>
      <c r="O958" t="str">
        <f t="shared" si="42"/>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_xlfn.XLOOKUP(C959,customers!$A$2:$A$1001,customers!$B$2:$B$1001,,0)</f>
        <v>Brenn Dundredge</v>
      </c>
      <c r="G959" s="2" t="str">
        <f>IF(_xlfn.XLOOKUP(C959,customers!$A$1:$A$1001,customers!$C$1:$C$1001,,0)=0,"",_xlfn.XLOOKUP(C959,customers!$A$1:$A$1001,customers!$C$1:$C$1001,,0))</f>
        <v/>
      </c>
      <c r="H959" s="2" t="str">
        <f>_xlfn.XLOOKUP(C959,customers!$A$1:$A$1001,customers!$G$1:$G$1001,,0)</f>
        <v>United States</v>
      </c>
      <c r="I959" t="str">
        <f>INDEX(products!$A$1:$G$49, MATCH(orders!$D959, products!$A$1:$A$49, 0), MATCH(orders!I$1, products!$A$1:$G$1, 0))</f>
        <v>Exc</v>
      </c>
      <c r="J959" t="str">
        <f>INDEX(products!$A$1:$G$49, MATCH(orders!$D959, products!$A$1:$A$49, 0), MATCH(orders!J$1, products!$A$1:$G$1, 0))</f>
        <v>L</v>
      </c>
      <c r="K959" s="5">
        <f>INDEX(products!$A$1:$G$49, MATCH(orders!$D959, products!$A$1:$A$49, 0), MATCH(orders!K$1, products!$A$1:$G$1, 0))</f>
        <v>1</v>
      </c>
      <c r="L959" s="6">
        <f>INDEX(products!$A$1:$G$49, MATCH(orders!$D959, products!$A$1:$A$49, 0), MATCH(orders!L$1, products!$A$1:$G$1, 0))</f>
        <v>14.85</v>
      </c>
      <c r="M959" s="6">
        <f t="shared" si="43"/>
        <v>14.85</v>
      </c>
      <c r="N959" t="str">
        <f t="shared" si="44"/>
        <v>Excelsa</v>
      </c>
      <c r="O959" t="str">
        <f t="shared" si="42"/>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_xlfn.XLOOKUP(C960,customers!$A$2:$A$1001,customers!$B$2:$B$1001,,0)</f>
        <v>Brenn Dundredge</v>
      </c>
      <c r="G960" s="2" t="str">
        <f>IF(_xlfn.XLOOKUP(C960,customers!$A$1:$A$1001,customers!$C$1:$C$1001,,0)=0,"",_xlfn.XLOOKUP(C960,customers!$A$1:$A$1001,customers!$C$1:$C$1001,,0))</f>
        <v/>
      </c>
      <c r="H960" s="2" t="str">
        <f>_xlfn.XLOOKUP(C960,customers!$A$1:$A$1001,customers!$G$1:$G$1001,,0)</f>
        <v>United States</v>
      </c>
      <c r="I960" t="str">
        <f>INDEX(products!$A$1:$G$49, MATCH(orders!$D960, products!$A$1:$A$49, 0), MATCH(orders!I$1, products!$A$1:$G$1, 0))</f>
        <v>Ara</v>
      </c>
      <c r="J960" t="str">
        <f>INDEX(products!$A$1:$G$49, MATCH(orders!$D960, products!$A$1:$A$49, 0), MATCH(orders!J$1, products!$A$1:$G$1, 0))</f>
        <v>L</v>
      </c>
      <c r="K960" s="5">
        <f>INDEX(products!$A$1:$G$49, MATCH(orders!$D960, products!$A$1:$A$49, 0), MATCH(orders!K$1, products!$A$1:$G$1, 0))</f>
        <v>0.2</v>
      </c>
      <c r="L960" s="6">
        <f>INDEX(products!$A$1:$G$49, MATCH(orders!$D960, products!$A$1:$A$49, 0), MATCH(orders!L$1, products!$A$1:$G$1, 0))</f>
        <v>3.8849999999999998</v>
      </c>
      <c r="M960" s="6">
        <f t="shared" si="43"/>
        <v>7.77</v>
      </c>
      <c r="N960" t="str">
        <f t="shared" si="44"/>
        <v>Arabica</v>
      </c>
      <c r="O960" t="str">
        <f t="shared" si="42"/>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_xlfn.XLOOKUP(C961,customers!$A$2:$A$1001,customers!$B$2:$B$1001,,0)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 MATCH(orders!$D961, products!$A$1:$A$49, 0), MATCH(orders!I$1, products!$A$1:$G$1, 0))</f>
        <v>Lib</v>
      </c>
      <c r="J961" t="str">
        <f>INDEX(products!$A$1:$G$49, MATCH(orders!$D961, products!$A$1:$A$49, 0), MATCH(orders!J$1, products!$A$1:$G$1, 0))</f>
        <v>L</v>
      </c>
      <c r="K961" s="5">
        <f>INDEX(products!$A$1:$G$49, MATCH(orders!$D961, products!$A$1:$A$49, 0), MATCH(orders!K$1, products!$A$1:$G$1, 0))</f>
        <v>0.2</v>
      </c>
      <c r="L961" s="6">
        <f>INDEX(products!$A$1:$G$49, MATCH(orders!$D961, products!$A$1:$A$49, 0), MATCH(orders!L$1, products!$A$1:$G$1, 0))</f>
        <v>4.7549999999999999</v>
      </c>
      <c r="M961" s="6">
        <f t="shared" si="43"/>
        <v>23.774999999999999</v>
      </c>
      <c r="N961" t="str">
        <f t="shared" si="44"/>
        <v>Liberica</v>
      </c>
      <c r="O961" t="str">
        <f t="shared" si="42"/>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_xlfn.XLOOKUP(C962,customers!$A$2:$A$1001,customers!$B$2:$B$1001,,0)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 MATCH(orders!$D962, products!$A$1:$A$49, 0), MATCH(orders!I$1, products!$A$1:$G$1, 0))</f>
        <v>Lib</v>
      </c>
      <c r="J962" t="str">
        <f>INDEX(products!$A$1:$G$49, MATCH(orders!$D962, products!$A$1:$A$49, 0), MATCH(orders!J$1, products!$A$1:$G$1, 0))</f>
        <v>L</v>
      </c>
      <c r="K962" s="5">
        <f>INDEX(products!$A$1:$G$49, MATCH(orders!$D962, products!$A$1:$A$49, 0), MATCH(orders!K$1, products!$A$1:$G$1, 0))</f>
        <v>1</v>
      </c>
      <c r="L962" s="6">
        <f>INDEX(products!$A$1:$G$49, MATCH(orders!$D962, products!$A$1:$A$49, 0), MATCH(orders!L$1, products!$A$1:$G$1, 0))</f>
        <v>15.85</v>
      </c>
      <c r="M962" s="6">
        <f t="shared" si="43"/>
        <v>79.25</v>
      </c>
      <c r="N962" t="str">
        <f t="shared" si="44"/>
        <v>Liberica</v>
      </c>
      <c r="O962" t="str">
        <f t="shared" ref="O962:O1001" si="45">IF(J962="M","Medium",IF(J962="l","Light",IF(J962="d","Dark","")))</f>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_xlfn.XLOOKUP(C963,customers!$A$2:$A$1001,customers!$B$2:$B$1001,,0)</f>
        <v>Florinda Matusovsky</v>
      </c>
      <c r="G963" s="2" t="str">
        <f>IF(_xlfn.XLOOKUP(C963,customers!$A$1:$A$1001,customers!$C$1:$C$1001,,0)=0,"",_xlfn.XLOOKUP(C963,customers!$A$1:$A$1001,customers!$C$1:$C$1001,,0))</f>
        <v/>
      </c>
      <c r="H963" s="2" t="str">
        <f>_xlfn.XLOOKUP(C963,customers!$A$1:$A$1001,customers!$G$1:$G$1001,,0)</f>
        <v>United States</v>
      </c>
      <c r="I963" t="str">
        <f>INDEX(products!$A$1:$G$49, MATCH(orders!$D963, products!$A$1:$A$49, 0), MATCH(orders!I$1, products!$A$1:$G$1, 0))</f>
        <v>Ara</v>
      </c>
      <c r="J963" t="str">
        <f>INDEX(products!$A$1:$G$49, MATCH(orders!$D963, products!$A$1:$A$49, 0), MATCH(orders!J$1, products!$A$1:$G$1, 0))</f>
        <v>D</v>
      </c>
      <c r="K963" s="5">
        <f>INDEX(products!$A$1:$G$49, MATCH(orders!$D963, products!$A$1:$A$49, 0), MATCH(orders!K$1, products!$A$1:$G$1, 0))</f>
        <v>2.5</v>
      </c>
      <c r="L963" s="6">
        <f>INDEX(products!$A$1:$G$49, MATCH(orders!$D963, products!$A$1:$A$49, 0), MATCH(orders!L$1, products!$A$1:$G$1, 0))</f>
        <v>22.884999999999998</v>
      </c>
      <c r="M963" s="6">
        <f t="shared" ref="M963:M1001" si="46">L963*E963</f>
        <v>45.769999999999996</v>
      </c>
      <c r="N963" t="str">
        <f t="shared" ref="N963:N1001" si="47">IF(I963="Rob","Robusta",IF(I963="Exc","Excelsa",IF(I963="Ara","Arabica",IF(I963="lib","Liberica",""))))</f>
        <v>Arabica</v>
      </c>
      <c r="O963" t="str">
        <f t="shared" si="45"/>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_xlfn.XLOOKUP(C964,customers!$A$2:$A$1001,customers!$B$2:$B$1001,,0)</f>
        <v>Morly Rocks</v>
      </c>
      <c r="G964" s="2" t="str">
        <f>IF(_xlfn.XLOOKUP(C964,customers!$A$1:$A$1001,customers!$C$1:$C$1001,,0)=0,"",_xlfn.XLOOKUP(C964,customers!$A$1:$A$1001,customers!$C$1:$C$1001,,0))</f>
        <v>mrocksqq@exblog.jp</v>
      </c>
      <c r="H964" s="2" t="str">
        <f>_xlfn.XLOOKUP(C964,customers!$A$1:$A$1001,customers!$G$1:$G$1001,,0)</f>
        <v>Ireland</v>
      </c>
      <c r="I964" t="str">
        <f>INDEX(products!$A$1:$G$49, MATCH(orders!$D964, products!$A$1:$A$49, 0), MATCH(orders!I$1, products!$A$1:$G$1, 0))</f>
        <v>Rob</v>
      </c>
      <c r="J964" t="str">
        <f>INDEX(products!$A$1:$G$49, MATCH(orders!$D964, products!$A$1:$A$49, 0), MATCH(orders!J$1, products!$A$1:$G$1, 0))</f>
        <v>D</v>
      </c>
      <c r="K964" s="5">
        <f>INDEX(products!$A$1:$G$49, MATCH(orders!$D964, products!$A$1:$A$49, 0), MATCH(orders!K$1, products!$A$1:$G$1, 0))</f>
        <v>1</v>
      </c>
      <c r="L964" s="6">
        <f>INDEX(products!$A$1:$G$49, MATCH(orders!$D964, products!$A$1:$A$49, 0), MATCH(orders!L$1, products!$A$1:$G$1, 0))</f>
        <v>8.9499999999999993</v>
      </c>
      <c r="M964" s="6">
        <f t="shared" si="46"/>
        <v>8.9499999999999993</v>
      </c>
      <c r="N964" t="str">
        <f t="shared" si="47"/>
        <v>Robusta</v>
      </c>
      <c r="O964" t="str">
        <f t="shared" si="45"/>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_xlfn.XLOOKUP(C965,customers!$A$2:$A$1001,customers!$B$2:$B$1001,,0)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 MATCH(orders!$D965, products!$A$1:$A$49, 0), MATCH(orders!I$1, products!$A$1:$G$1, 0))</f>
        <v>Rob</v>
      </c>
      <c r="J965" t="str">
        <f>INDEX(products!$A$1:$G$49, MATCH(orders!$D965, products!$A$1:$A$49, 0), MATCH(orders!J$1, products!$A$1:$G$1, 0))</f>
        <v>M</v>
      </c>
      <c r="K965" s="5">
        <f>INDEX(products!$A$1:$G$49, MATCH(orders!$D965, products!$A$1:$A$49, 0), MATCH(orders!K$1, products!$A$1:$G$1, 0))</f>
        <v>0.5</v>
      </c>
      <c r="L965" s="6">
        <f>INDEX(products!$A$1:$G$49, MATCH(orders!$D965, products!$A$1:$A$49, 0), MATCH(orders!L$1, products!$A$1:$G$1, 0))</f>
        <v>5.97</v>
      </c>
      <c r="M965" s="6">
        <f t="shared" si="46"/>
        <v>23.88</v>
      </c>
      <c r="N965" t="str">
        <f t="shared" si="47"/>
        <v>Robusta</v>
      </c>
      <c r="O965" t="str">
        <f t="shared" si="45"/>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_xlfn.XLOOKUP(C966,customers!$A$2:$A$1001,customers!$B$2:$B$1001,,0)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 MATCH(orders!$D966, products!$A$1:$A$49, 0), MATCH(orders!I$1, products!$A$1:$G$1, 0))</f>
        <v>Exc</v>
      </c>
      <c r="J966" t="str">
        <f>INDEX(products!$A$1:$G$49, MATCH(orders!$D966, products!$A$1:$A$49, 0), MATCH(orders!J$1, products!$A$1:$G$1, 0))</f>
        <v>L</v>
      </c>
      <c r="K966" s="5">
        <f>INDEX(products!$A$1:$G$49, MATCH(orders!$D966, products!$A$1:$A$49, 0), MATCH(orders!K$1, products!$A$1:$G$1, 0))</f>
        <v>0.2</v>
      </c>
      <c r="L966" s="6">
        <f>INDEX(products!$A$1:$G$49, MATCH(orders!$D966, products!$A$1:$A$49, 0), MATCH(orders!L$1, products!$A$1:$G$1, 0))</f>
        <v>4.4550000000000001</v>
      </c>
      <c r="M966" s="6">
        <f t="shared" si="46"/>
        <v>22.274999999999999</v>
      </c>
      <c r="N966" t="str">
        <f t="shared" si="47"/>
        <v>Excelsa</v>
      </c>
      <c r="O966" t="str">
        <f t="shared" si="45"/>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_xlfn.XLOOKUP(C967,customers!$A$2:$A$1001,customers!$B$2:$B$1001,,0)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 MATCH(orders!$D967, products!$A$1:$A$49, 0), MATCH(orders!I$1, products!$A$1:$G$1, 0))</f>
        <v>Rob</v>
      </c>
      <c r="J967" t="str">
        <f>INDEX(products!$A$1:$G$49, MATCH(orders!$D967, products!$A$1:$A$49, 0), MATCH(orders!J$1, products!$A$1:$G$1, 0))</f>
        <v>M</v>
      </c>
      <c r="K967" s="5">
        <f>INDEX(products!$A$1:$G$49, MATCH(orders!$D967, products!$A$1:$A$49, 0), MATCH(orders!K$1, products!$A$1:$G$1, 0))</f>
        <v>1</v>
      </c>
      <c r="L967" s="6">
        <f>INDEX(products!$A$1:$G$49, MATCH(orders!$D967, products!$A$1:$A$49, 0), MATCH(orders!L$1, products!$A$1:$G$1, 0))</f>
        <v>9.9499999999999993</v>
      </c>
      <c r="M967" s="6">
        <f t="shared" si="46"/>
        <v>29.849999999999998</v>
      </c>
      <c r="N967" t="str">
        <f t="shared" si="47"/>
        <v>Robusta</v>
      </c>
      <c r="O967" t="str">
        <f t="shared" si="45"/>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_xlfn.XLOOKUP(C968,customers!$A$2:$A$1001,customers!$B$2:$B$1001,,0)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 MATCH(orders!$D968, products!$A$1:$A$49, 0), MATCH(orders!I$1, products!$A$1:$G$1, 0))</f>
        <v>Exc</v>
      </c>
      <c r="J968" t="str">
        <f>INDEX(products!$A$1:$G$49, MATCH(orders!$D968, products!$A$1:$A$49, 0), MATCH(orders!J$1, products!$A$1:$G$1, 0))</f>
        <v>L</v>
      </c>
      <c r="K968" s="5">
        <f>INDEX(products!$A$1:$G$49, MATCH(orders!$D968, products!$A$1:$A$49, 0), MATCH(orders!K$1, products!$A$1:$G$1, 0))</f>
        <v>0.5</v>
      </c>
      <c r="L968" s="6">
        <f>INDEX(products!$A$1:$G$49, MATCH(orders!$D968, products!$A$1:$A$49, 0), MATCH(orders!L$1, products!$A$1:$G$1, 0))</f>
        <v>8.91</v>
      </c>
      <c r="M968" s="6">
        <f t="shared" si="46"/>
        <v>53.46</v>
      </c>
      <c r="N968" t="str">
        <f t="shared" si="47"/>
        <v>Excelsa</v>
      </c>
      <c r="O968" t="str">
        <f t="shared" si="45"/>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_xlfn.XLOOKUP(C969,customers!$A$2:$A$1001,customers!$B$2:$B$1001,,0)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 MATCH(orders!$D969, products!$A$1:$A$49, 0), MATCH(orders!I$1, products!$A$1:$G$1, 0))</f>
        <v>Rob</v>
      </c>
      <c r="J969" t="str">
        <f>INDEX(products!$A$1:$G$49, MATCH(orders!$D969, products!$A$1:$A$49, 0), MATCH(orders!J$1, products!$A$1:$G$1, 0))</f>
        <v>D</v>
      </c>
      <c r="K969" s="5">
        <f>INDEX(products!$A$1:$G$49, MATCH(orders!$D969, products!$A$1:$A$49, 0), MATCH(orders!K$1, products!$A$1:$G$1, 0))</f>
        <v>0.2</v>
      </c>
      <c r="L969" s="6">
        <f>INDEX(products!$A$1:$G$49, MATCH(orders!$D969, products!$A$1:$A$49, 0), MATCH(orders!L$1, products!$A$1:$G$1, 0))</f>
        <v>2.6849999999999996</v>
      </c>
      <c r="M969" s="6">
        <f t="shared" si="46"/>
        <v>2.6849999999999996</v>
      </c>
      <c r="N969" t="str">
        <f t="shared" si="47"/>
        <v>Robusta</v>
      </c>
      <c r="O969" t="str">
        <f t="shared" si="45"/>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_xlfn.XLOOKUP(C970,customers!$A$2:$A$1001,customers!$B$2:$B$1001,,0)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 MATCH(orders!$D970, products!$A$1:$A$49, 0), MATCH(orders!I$1, products!$A$1:$G$1, 0))</f>
        <v>Rob</v>
      </c>
      <c r="J970" t="str">
        <f>INDEX(products!$A$1:$G$49, MATCH(orders!$D970, products!$A$1:$A$49, 0), MATCH(orders!J$1, products!$A$1:$G$1, 0))</f>
        <v>M</v>
      </c>
      <c r="K970" s="5">
        <f>INDEX(products!$A$1:$G$49, MATCH(orders!$D970, products!$A$1:$A$49, 0), MATCH(orders!K$1, products!$A$1:$G$1, 0))</f>
        <v>0.2</v>
      </c>
      <c r="L970" s="6">
        <f>INDEX(products!$A$1:$G$49, MATCH(orders!$D970, products!$A$1:$A$49, 0), MATCH(orders!L$1, products!$A$1:$G$1, 0))</f>
        <v>2.9849999999999999</v>
      </c>
      <c r="M970" s="6">
        <f t="shared" si="46"/>
        <v>5.97</v>
      </c>
      <c r="N970" t="str">
        <f t="shared" si="47"/>
        <v>Robusta</v>
      </c>
      <c r="O970" t="str">
        <f t="shared" si="45"/>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_xlfn.XLOOKUP(C971,customers!$A$2:$A$1001,customers!$B$2:$B$1001,,0)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 MATCH(orders!$D971, products!$A$1:$A$49, 0), MATCH(orders!I$1, products!$A$1:$G$1, 0))</f>
        <v>Lib</v>
      </c>
      <c r="J971" t="str">
        <f>INDEX(products!$A$1:$G$49, MATCH(orders!$D971, products!$A$1:$A$49, 0), MATCH(orders!J$1, products!$A$1:$G$1, 0))</f>
        <v>D</v>
      </c>
      <c r="K971" s="5">
        <f>INDEX(products!$A$1:$G$49, MATCH(orders!$D971, products!$A$1:$A$49, 0), MATCH(orders!K$1, products!$A$1:$G$1, 0))</f>
        <v>1</v>
      </c>
      <c r="L971" s="6">
        <f>INDEX(products!$A$1:$G$49, MATCH(orders!$D971, products!$A$1:$A$49, 0), MATCH(orders!L$1, products!$A$1:$G$1, 0))</f>
        <v>12.95</v>
      </c>
      <c r="M971" s="6">
        <f t="shared" si="46"/>
        <v>12.95</v>
      </c>
      <c r="N971" t="str">
        <f t="shared" si="47"/>
        <v>Liberica</v>
      </c>
      <c r="O971" t="str">
        <f t="shared" si="45"/>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_xlfn.XLOOKUP(C972,customers!$A$2:$A$1001,customers!$B$2:$B$1001,,0)</f>
        <v>Sharl Southerill</v>
      </c>
      <c r="G972" s="2" t="str">
        <f>IF(_xlfn.XLOOKUP(C972,customers!$A$1:$A$1001,customers!$C$1:$C$1001,,0)=0,"",_xlfn.XLOOKUP(C972,customers!$A$1:$A$1001,customers!$C$1:$C$1001,,0))</f>
        <v/>
      </c>
      <c r="H972" s="2" t="str">
        <f>_xlfn.XLOOKUP(C972,customers!$A$1:$A$1001,customers!$G$1:$G$1001,,0)</f>
        <v>United States</v>
      </c>
      <c r="I972" t="str">
        <f>INDEX(products!$A$1:$G$49, MATCH(orders!$D972, products!$A$1:$A$49, 0), MATCH(orders!I$1, products!$A$1:$G$1, 0))</f>
        <v>Exc</v>
      </c>
      <c r="J972" t="str">
        <f>INDEX(products!$A$1:$G$49, MATCH(orders!$D972, products!$A$1:$A$49, 0), MATCH(orders!J$1, products!$A$1:$G$1, 0))</f>
        <v>M</v>
      </c>
      <c r="K972" s="5">
        <f>INDEX(products!$A$1:$G$49, MATCH(orders!$D972, products!$A$1:$A$49, 0), MATCH(orders!K$1, products!$A$1:$G$1, 0))</f>
        <v>0.5</v>
      </c>
      <c r="L972" s="6">
        <f>INDEX(products!$A$1:$G$49, MATCH(orders!$D972, products!$A$1:$A$49, 0), MATCH(orders!L$1, products!$A$1:$G$1, 0))</f>
        <v>8.25</v>
      </c>
      <c r="M972" s="6">
        <f t="shared" si="46"/>
        <v>8.25</v>
      </c>
      <c r="N972" t="str">
        <f t="shared" si="47"/>
        <v>Excelsa</v>
      </c>
      <c r="O972" t="str">
        <f t="shared" si="45"/>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_xlfn.XLOOKUP(C973,customers!$A$2:$A$1001,customers!$B$2:$B$1001,,0)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 MATCH(orders!$D973, products!$A$1:$A$49, 0), MATCH(orders!I$1, products!$A$1:$G$1, 0))</f>
        <v>Ara</v>
      </c>
      <c r="J973" t="str">
        <f>INDEX(products!$A$1:$G$49, MATCH(orders!$D973, products!$A$1:$A$49, 0), MATCH(orders!J$1, products!$A$1:$G$1, 0))</f>
        <v>L</v>
      </c>
      <c r="K973" s="5">
        <f>INDEX(products!$A$1:$G$49, MATCH(orders!$D973, products!$A$1:$A$49, 0), MATCH(orders!K$1, products!$A$1:$G$1, 0))</f>
        <v>2.5</v>
      </c>
      <c r="L973" s="6">
        <f>INDEX(products!$A$1:$G$49, MATCH(orders!$D973, products!$A$1:$A$49, 0), MATCH(orders!L$1, products!$A$1:$G$1, 0))</f>
        <v>29.784999999999997</v>
      </c>
      <c r="M973" s="6">
        <f t="shared" si="46"/>
        <v>148.92499999999998</v>
      </c>
      <c r="N973" t="str">
        <f t="shared" si="47"/>
        <v>Arabica</v>
      </c>
      <c r="O973" t="str">
        <f t="shared" si="45"/>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_xlfn.XLOOKUP(C974,customers!$A$2:$A$1001,customers!$B$2:$B$1001,,0)</f>
        <v>Dinah Crutcher</v>
      </c>
      <c r="G974" s="2" t="str">
        <f>IF(_xlfn.XLOOKUP(C974,customers!$A$1:$A$1001,customers!$C$1:$C$1001,,0)=0,"",_xlfn.XLOOKUP(C974,customers!$A$1:$A$1001,customers!$C$1:$C$1001,,0))</f>
        <v/>
      </c>
      <c r="H974" s="2" t="str">
        <f>_xlfn.XLOOKUP(C974,customers!$A$1:$A$1001,customers!$G$1:$G$1001,,0)</f>
        <v>Ireland</v>
      </c>
      <c r="I974" t="str">
        <f>INDEX(products!$A$1:$G$49, MATCH(orders!$D974, products!$A$1:$A$49, 0), MATCH(orders!I$1, products!$A$1:$G$1, 0))</f>
        <v>Ara</v>
      </c>
      <c r="J974" t="str">
        <f>INDEX(products!$A$1:$G$49, MATCH(orders!$D974, products!$A$1:$A$49, 0), MATCH(orders!J$1, products!$A$1:$G$1, 0))</f>
        <v>L</v>
      </c>
      <c r="K974" s="5">
        <f>INDEX(products!$A$1:$G$49, MATCH(orders!$D974, products!$A$1:$A$49, 0), MATCH(orders!K$1, products!$A$1:$G$1, 0))</f>
        <v>2.5</v>
      </c>
      <c r="L974" s="6">
        <f>INDEX(products!$A$1:$G$49, MATCH(orders!$D974, products!$A$1:$A$49, 0), MATCH(orders!L$1, products!$A$1:$G$1, 0))</f>
        <v>29.784999999999997</v>
      </c>
      <c r="M974" s="6">
        <f t="shared" si="46"/>
        <v>89.35499999999999</v>
      </c>
      <c r="N974" t="str">
        <f t="shared" si="47"/>
        <v>Arabica</v>
      </c>
      <c r="O974" t="str">
        <f t="shared" si="45"/>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_xlfn.XLOOKUP(C975,customers!$A$2:$A$1001,customers!$B$2:$B$1001,,0)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 MATCH(orders!$D975, products!$A$1:$A$49, 0), MATCH(orders!I$1, products!$A$1:$G$1, 0))</f>
        <v>Lib</v>
      </c>
      <c r="J975" t="str">
        <f>INDEX(products!$A$1:$G$49, MATCH(orders!$D975, products!$A$1:$A$49, 0), MATCH(orders!J$1, products!$A$1:$G$1, 0))</f>
        <v>M</v>
      </c>
      <c r="K975" s="5">
        <f>INDEX(products!$A$1:$G$49, MATCH(orders!$D975, products!$A$1:$A$49, 0), MATCH(orders!K$1, products!$A$1:$G$1, 0))</f>
        <v>1</v>
      </c>
      <c r="L975" s="6">
        <f>INDEX(products!$A$1:$G$49, MATCH(orders!$D975, products!$A$1:$A$49, 0), MATCH(orders!L$1, products!$A$1:$G$1, 0))</f>
        <v>14.55</v>
      </c>
      <c r="M975" s="6">
        <f t="shared" si="46"/>
        <v>87.300000000000011</v>
      </c>
      <c r="N975" t="str">
        <f t="shared" si="47"/>
        <v>Liberica</v>
      </c>
      <c r="O975" t="str">
        <f t="shared" si="45"/>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_xlfn.XLOOKUP(C976,customers!$A$2:$A$1001,customers!$B$2:$B$1001,,0)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 MATCH(orders!$D976, products!$A$1:$A$49, 0), MATCH(orders!I$1, products!$A$1:$G$1, 0))</f>
        <v>Rob</v>
      </c>
      <c r="J976" t="str">
        <f>INDEX(products!$A$1:$G$49, MATCH(orders!$D976, products!$A$1:$A$49, 0), MATCH(orders!J$1, products!$A$1:$G$1, 0))</f>
        <v>D</v>
      </c>
      <c r="K976" s="5">
        <f>INDEX(products!$A$1:$G$49, MATCH(orders!$D976, products!$A$1:$A$49, 0), MATCH(orders!K$1, products!$A$1:$G$1, 0))</f>
        <v>0.5</v>
      </c>
      <c r="L976" s="6">
        <f>INDEX(products!$A$1:$G$49, MATCH(orders!$D976, products!$A$1:$A$49, 0), MATCH(orders!L$1, products!$A$1:$G$1, 0))</f>
        <v>5.3699999999999992</v>
      </c>
      <c r="M976" s="6">
        <f t="shared" si="46"/>
        <v>5.3699999999999992</v>
      </c>
      <c r="N976" t="str">
        <f t="shared" si="47"/>
        <v>Robusta</v>
      </c>
      <c r="O976" t="str">
        <f t="shared" si="45"/>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_xlfn.XLOOKUP(C977,customers!$A$2:$A$1001,customers!$B$2:$B$1001,,0)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 MATCH(orders!$D977, products!$A$1:$A$49, 0), MATCH(orders!I$1, products!$A$1:$G$1, 0))</f>
        <v>Ara</v>
      </c>
      <c r="J977" t="str">
        <f>INDEX(products!$A$1:$G$49, MATCH(orders!$D977, products!$A$1:$A$49, 0), MATCH(orders!J$1, products!$A$1:$G$1, 0))</f>
        <v>D</v>
      </c>
      <c r="K977" s="5">
        <f>INDEX(products!$A$1:$G$49, MATCH(orders!$D977, products!$A$1:$A$49, 0), MATCH(orders!K$1, products!$A$1:$G$1, 0))</f>
        <v>0.2</v>
      </c>
      <c r="L977" s="6">
        <f>INDEX(products!$A$1:$G$49, MATCH(orders!$D977, products!$A$1:$A$49, 0), MATCH(orders!L$1, products!$A$1:$G$1, 0))</f>
        <v>2.9849999999999999</v>
      </c>
      <c r="M977" s="6">
        <f t="shared" si="46"/>
        <v>8.9550000000000001</v>
      </c>
      <c r="N977" t="str">
        <f t="shared" si="47"/>
        <v>Arabica</v>
      </c>
      <c r="O977" t="str">
        <f t="shared" si="45"/>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_xlfn.XLOOKUP(C978,customers!$A$2:$A$1001,customers!$B$2:$B$1001,,0)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 MATCH(orders!$D978, products!$A$1:$A$49, 0), MATCH(orders!I$1, products!$A$1:$G$1, 0))</f>
        <v>Rob</v>
      </c>
      <c r="J978" t="str">
        <f>INDEX(products!$A$1:$G$49, MATCH(orders!$D978, products!$A$1:$A$49, 0), MATCH(orders!J$1, products!$A$1:$G$1, 0))</f>
        <v>L</v>
      </c>
      <c r="K978" s="5">
        <f>INDEX(products!$A$1:$G$49, MATCH(orders!$D978, products!$A$1:$A$49, 0), MATCH(orders!K$1, products!$A$1:$G$1, 0))</f>
        <v>2.5</v>
      </c>
      <c r="L978" s="6">
        <f>INDEX(products!$A$1:$G$49, MATCH(orders!$D978, products!$A$1:$A$49, 0), MATCH(orders!L$1, products!$A$1:$G$1, 0))</f>
        <v>27.484999999999996</v>
      </c>
      <c r="M978" s="6">
        <f t="shared" si="46"/>
        <v>137.42499999999998</v>
      </c>
      <c r="N978" t="str">
        <f t="shared" si="47"/>
        <v>Robusta</v>
      </c>
      <c r="O978" t="str">
        <f t="shared" si="45"/>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_xlfn.XLOOKUP(C979,customers!$A$2:$A$1001,customers!$B$2:$B$1001,,0)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 MATCH(orders!$D979, products!$A$1:$A$49, 0), MATCH(orders!I$1, products!$A$1:$G$1, 0))</f>
        <v>Rob</v>
      </c>
      <c r="J979" t="str">
        <f>INDEX(products!$A$1:$G$49, MATCH(orders!$D979, products!$A$1:$A$49, 0), MATCH(orders!J$1, products!$A$1:$G$1, 0))</f>
        <v>L</v>
      </c>
      <c r="K979" s="5">
        <f>INDEX(products!$A$1:$G$49, MATCH(orders!$D979, products!$A$1:$A$49, 0), MATCH(orders!K$1, products!$A$1:$G$1, 0))</f>
        <v>1</v>
      </c>
      <c r="L979" s="6">
        <f>INDEX(products!$A$1:$G$49, MATCH(orders!$D979, products!$A$1:$A$49, 0), MATCH(orders!L$1, products!$A$1:$G$1, 0))</f>
        <v>11.95</v>
      </c>
      <c r="M979" s="6">
        <f t="shared" si="46"/>
        <v>59.75</v>
      </c>
      <c r="N979" t="str">
        <f t="shared" si="47"/>
        <v>Robusta</v>
      </c>
      <c r="O979" t="str">
        <f t="shared" si="45"/>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_xlfn.XLOOKUP(C980,customers!$A$2:$A$1001,customers!$B$2:$B$1001,,0)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 MATCH(orders!$D980, products!$A$1:$A$49, 0), MATCH(orders!I$1, products!$A$1:$G$1, 0))</f>
        <v>Ara</v>
      </c>
      <c r="J980" t="str">
        <f>INDEX(products!$A$1:$G$49, MATCH(orders!$D980, products!$A$1:$A$49, 0), MATCH(orders!J$1, products!$A$1:$G$1, 0))</f>
        <v>L</v>
      </c>
      <c r="K980" s="5">
        <f>INDEX(products!$A$1:$G$49, MATCH(orders!$D980, products!$A$1:$A$49, 0), MATCH(orders!K$1, products!$A$1:$G$1, 0))</f>
        <v>0.5</v>
      </c>
      <c r="L980" s="6">
        <f>INDEX(products!$A$1:$G$49, MATCH(orders!$D980, products!$A$1:$A$49, 0), MATCH(orders!L$1, products!$A$1:$G$1, 0))</f>
        <v>7.77</v>
      </c>
      <c r="M980" s="6">
        <f t="shared" si="46"/>
        <v>23.31</v>
      </c>
      <c r="N980" t="str">
        <f t="shared" si="47"/>
        <v>Arabica</v>
      </c>
      <c r="O980" t="str">
        <f t="shared" si="45"/>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_xlfn.XLOOKUP(C981,customers!$A$2:$A$1001,customers!$B$2:$B$1001,,0)</f>
        <v>Javier Causnett</v>
      </c>
      <c r="G981" s="2" t="str">
        <f>IF(_xlfn.XLOOKUP(C981,customers!$A$1:$A$1001,customers!$C$1:$C$1001,,0)=0,"",_xlfn.XLOOKUP(C981,customers!$A$1:$A$1001,customers!$C$1:$C$1001,,0))</f>
        <v/>
      </c>
      <c r="H981" s="2" t="str">
        <f>_xlfn.XLOOKUP(C981,customers!$A$1:$A$1001,customers!$G$1:$G$1001,,0)</f>
        <v>United States</v>
      </c>
      <c r="I981" t="str">
        <f>INDEX(products!$A$1:$G$49, MATCH(orders!$D981, products!$A$1:$A$49, 0), MATCH(orders!I$1, products!$A$1:$G$1, 0))</f>
        <v>Rob</v>
      </c>
      <c r="J981" t="str">
        <f>INDEX(products!$A$1:$G$49, MATCH(orders!$D981, products!$A$1:$A$49, 0), MATCH(orders!J$1, products!$A$1:$G$1, 0))</f>
        <v>D</v>
      </c>
      <c r="K981" s="5">
        <f>INDEX(products!$A$1:$G$49, MATCH(orders!$D981, products!$A$1:$A$49, 0), MATCH(orders!K$1, products!$A$1:$G$1, 0))</f>
        <v>0.5</v>
      </c>
      <c r="L981" s="6">
        <f>INDEX(products!$A$1:$G$49, MATCH(orders!$D981, products!$A$1:$A$49, 0), MATCH(orders!L$1, products!$A$1:$G$1, 0))</f>
        <v>5.3699999999999992</v>
      </c>
      <c r="M981" s="6">
        <f t="shared" si="46"/>
        <v>10.739999999999998</v>
      </c>
      <c r="N981" t="str">
        <f t="shared" si="47"/>
        <v>Robusta</v>
      </c>
      <c r="O981" t="str">
        <f t="shared" si="45"/>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_xlfn.XLOOKUP(C982,customers!$A$2:$A$1001,customers!$B$2:$B$1001,,0)</f>
        <v>Demetris Micheli</v>
      </c>
      <c r="G982" s="2" t="str">
        <f>IF(_xlfn.XLOOKUP(C982,customers!$A$1:$A$1001,customers!$C$1:$C$1001,,0)=0,"",_xlfn.XLOOKUP(C982,customers!$A$1:$A$1001,customers!$C$1:$C$1001,,0))</f>
        <v/>
      </c>
      <c r="H982" s="2" t="str">
        <f>_xlfn.XLOOKUP(C982,customers!$A$1:$A$1001,customers!$G$1:$G$1001,,0)</f>
        <v>United States</v>
      </c>
      <c r="I982" t="str">
        <f>INDEX(products!$A$1:$G$49, MATCH(orders!$D982, products!$A$1:$A$49, 0), MATCH(orders!I$1, products!$A$1:$G$1, 0))</f>
        <v>Exc</v>
      </c>
      <c r="J982" t="str">
        <f>INDEX(products!$A$1:$G$49, MATCH(orders!$D982, products!$A$1:$A$49, 0), MATCH(orders!J$1, products!$A$1:$G$1, 0))</f>
        <v>D</v>
      </c>
      <c r="K982" s="5">
        <f>INDEX(products!$A$1:$G$49, MATCH(orders!$D982, products!$A$1:$A$49, 0), MATCH(orders!K$1, products!$A$1:$G$1, 0))</f>
        <v>2.5</v>
      </c>
      <c r="L982" s="6">
        <f>INDEX(products!$A$1:$G$49, MATCH(orders!$D982, products!$A$1:$A$49, 0), MATCH(orders!L$1, products!$A$1:$G$1, 0))</f>
        <v>27.945</v>
      </c>
      <c r="M982" s="6">
        <f t="shared" si="46"/>
        <v>167.67000000000002</v>
      </c>
      <c r="N982" t="str">
        <f t="shared" si="47"/>
        <v>Excelsa</v>
      </c>
      <c r="O982" t="str">
        <f t="shared" si="45"/>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_xlfn.XLOOKUP(C983,customers!$A$2:$A$1001,customers!$B$2:$B$1001,,0)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 MATCH(orders!$D983, products!$A$1:$A$49, 0), MATCH(orders!I$1, products!$A$1:$G$1, 0))</f>
        <v>Exc</v>
      </c>
      <c r="J983" t="str">
        <f>INDEX(products!$A$1:$G$49, MATCH(orders!$D983, products!$A$1:$A$49, 0), MATCH(orders!J$1, products!$A$1:$G$1, 0))</f>
        <v>D</v>
      </c>
      <c r="K983" s="5">
        <f>INDEX(products!$A$1:$G$49, MATCH(orders!$D983, products!$A$1:$A$49, 0), MATCH(orders!K$1, products!$A$1:$G$1, 0))</f>
        <v>0.2</v>
      </c>
      <c r="L983" s="6">
        <f>INDEX(products!$A$1:$G$49, MATCH(orders!$D983, products!$A$1:$A$49, 0), MATCH(orders!L$1, products!$A$1:$G$1, 0))</f>
        <v>3.645</v>
      </c>
      <c r="M983" s="6">
        <f t="shared" si="46"/>
        <v>21.87</v>
      </c>
      <c r="N983" t="str">
        <f t="shared" si="47"/>
        <v>Excelsa</v>
      </c>
      <c r="O983" t="str">
        <f t="shared" si="45"/>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_xlfn.XLOOKUP(C984,customers!$A$2:$A$1001,customers!$B$2:$B$1001,,0)</f>
        <v>Kim Kemery</v>
      </c>
      <c r="G984" s="2" t="str">
        <f>IF(_xlfn.XLOOKUP(C984,customers!$A$1:$A$1001,customers!$C$1:$C$1001,,0)=0,"",_xlfn.XLOOKUP(C984,customers!$A$1:$A$1001,customers!$C$1:$C$1001,,0))</f>
        <v>kkemeryra@t.co</v>
      </c>
      <c r="H984" s="2" t="str">
        <f>_xlfn.XLOOKUP(C984,customers!$A$1:$A$1001,customers!$G$1:$G$1001,,0)</f>
        <v>United States</v>
      </c>
      <c r="I984" t="str">
        <f>INDEX(products!$A$1:$G$49, MATCH(orders!$D984, products!$A$1:$A$49, 0), MATCH(orders!I$1, products!$A$1:$G$1, 0))</f>
        <v>Rob</v>
      </c>
      <c r="J984" t="str">
        <f>INDEX(products!$A$1:$G$49, MATCH(orders!$D984, products!$A$1:$A$49, 0), MATCH(orders!J$1, products!$A$1:$G$1, 0))</f>
        <v>L</v>
      </c>
      <c r="K984" s="5">
        <f>INDEX(products!$A$1:$G$49, MATCH(orders!$D984, products!$A$1:$A$49, 0), MATCH(orders!K$1, products!$A$1:$G$1, 0))</f>
        <v>1</v>
      </c>
      <c r="L984" s="6">
        <f>INDEX(products!$A$1:$G$49, MATCH(orders!$D984, products!$A$1:$A$49, 0), MATCH(orders!L$1, products!$A$1:$G$1, 0))</f>
        <v>11.95</v>
      </c>
      <c r="M984" s="6">
        <f t="shared" si="46"/>
        <v>23.9</v>
      </c>
      <c r="N984" t="str">
        <f t="shared" si="47"/>
        <v>Robusta</v>
      </c>
      <c r="O984" t="str">
        <f t="shared" si="45"/>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_xlfn.XLOOKUP(C985,customers!$A$2:$A$1001,customers!$B$2:$B$1001,,0)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 MATCH(orders!$D985, products!$A$1:$A$49, 0), MATCH(orders!I$1, products!$A$1:$G$1, 0))</f>
        <v>Ara</v>
      </c>
      <c r="J985" t="str">
        <f>INDEX(products!$A$1:$G$49, MATCH(orders!$D985, products!$A$1:$A$49, 0), MATCH(orders!J$1, products!$A$1:$G$1, 0))</f>
        <v>M</v>
      </c>
      <c r="K985" s="5">
        <f>INDEX(products!$A$1:$G$49, MATCH(orders!$D985, products!$A$1:$A$49, 0), MATCH(orders!K$1, products!$A$1:$G$1, 0))</f>
        <v>0.2</v>
      </c>
      <c r="L985" s="6">
        <f>INDEX(products!$A$1:$G$49, MATCH(orders!$D985, products!$A$1:$A$49, 0), MATCH(orders!L$1, products!$A$1:$G$1, 0))</f>
        <v>3.375</v>
      </c>
      <c r="M985" s="6">
        <f t="shared" si="46"/>
        <v>6.75</v>
      </c>
      <c r="N985" t="str">
        <f t="shared" si="47"/>
        <v>Arabica</v>
      </c>
      <c r="O985" t="str">
        <f t="shared" si="45"/>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_xlfn.XLOOKUP(C986,customers!$A$2:$A$1001,customers!$B$2:$B$1001,,0)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 MATCH(orders!$D986, products!$A$1:$A$49, 0), MATCH(orders!I$1, products!$A$1:$G$1, 0))</f>
        <v>Exc</v>
      </c>
      <c r="J986" t="str">
        <f>INDEX(products!$A$1:$G$49, MATCH(orders!$D986, products!$A$1:$A$49, 0), MATCH(orders!J$1, products!$A$1:$G$1, 0))</f>
        <v>M</v>
      </c>
      <c r="K986" s="5">
        <f>INDEX(products!$A$1:$G$49, MATCH(orders!$D986, products!$A$1:$A$49, 0), MATCH(orders!K$1, products!$A$1:$G$1, 0))</f>
        <v>2.5</v>
      </c>
      <c r="L986" s="6">
        <f>INDEX(products!$A$1:$G$49, MATCH(orders!$D986, products!$A$1:$A$49, 0), MATCH(orders!L$1, products!$A$1:$G$1, 0))</f>
        <v>31.624999999999996</v>
      </c>
      <c r="M986" s="6">
        <f t="shared" si="46"/>
        <v>31.624999999999996</v>
      </c>
      <c r="N986" t="str">
        <f t="shared" si="47"/>
        <v>Excelsa</v>
      </c>
      <c r="O986" t="str">
        <f t="shared" si="45"/>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_xlfn.XLOOKUP(C987,customers!$A$2:$A$1001,customers!$B$2:$B$1001,,0)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 MATCH(orders!$D987, products!$A$1:$A$49, 0), MATCH(orders!I$1, products!$A$1:$G$1, 0))</f>
        <v>Rob</v>
      </c>
      <c r="J987" t="str">
        <f>INDEX(products!$A$1:$G$49, MATCH(orders!$D987, products!$A$1:$A$49, 0), MATCH(orders!J$1, products!$A$1:$G$1, 0))</f>
        <v>L</v>
      </c>
      <c r="K987" s="5">
        <f>INDEX(products!$A$1:$G$49, MATCH(orders!$D987, products!$A$1:$A$49, 0), MATCH(orders!K$1, products!$A$1:$G$1, 0))</f>
        <v>1</v>
      </c>
      <c r="L987" s="6">
        <f>INDEX(products!$A$1:$G$49, MATCH(orders!$D987, products!$A$1:$A$49, 0), MATCH(orders!L$1, products!$A$1:$G$1, 0))</f>
        <v>11.95</v>
      </c>
      <c r="M987" s="6">
        <f t="shared" si="46"/>
        <v>47.8</v>
      </c>
      <c r="N987" t="str">
        <f t="shared" si="47"/>
        <v>Robusta</v>
      </c>
      <c r="O987" t="str">
        <f t="shared" si="45"/>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_xlfn.XLOOKUP(C988,customers!$A$2:$A$1001,customers!$B$2:$B$1001,,0)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 MATCH(orders!$D988, products!$A$1:$A$49, 0), MATCH(orders!I$1, products!$A$1:$G$1, 0))</f>
        <v>Lib</v>
      </c>
      <c r="J988" t="str">
        <f>INDEX(products!$A$1:$G$49, MATCH(orders!$D988, products!$A$1:$A$49, 0), MATCH(orders!J$1, products!$A$1:$G$1, 0))</f>
        <v>M</v>
      </c>
      <c r="K988" s="5">
        <f>INDEX(products!$A$1:$G$49, MATCH(orders!$D988, products!$A$1:$A$49, 0), MATCH(orders!K$1, products!$A$1:$G$1, 0))</f>
        <v>2.5</v>
      </c>
      <c r="L988" s="6">
        <f>INDEX(products!$A$1:$G$49, MATCH(orders!$D988, products!$A$1:$A$49, 0), MATCH(orders!L$1, products!$A$1:$G$1, 0))</f>
        <v>33.464999999999996</v>
      </c>
      <c r="M988" s="6">
        <f t="shared" si="46"/>
        <v>33.464999999999996</v>
      </c>
      <c r="N988" t="str">
        <f t="shared" si="47"/>
        <v>Liberica</v>
      </c>
      <c r="O988" t="str">
        <f t="shared" si="45"/>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_xlfn.XLOOKUP(C989,customers!$A$2:$A$1001,customers!$B$2:$B$1001,,0)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 MATCH(orders!$D989, products!$A$1:$A$49, 0), MATCH(orders!I$1, products!$A$1:$G$1, 0))</f>
        <v>Ara</v>
      </c>
      <c r="J989" t="str">
        <f>INDEX(products!$A$1:$G$49, MATCH(orders!$D989, products!$A$1:$A$49, 0), MATCH(orders!J$1, products!$A$1:$G$1, 0))</f>
        <v>D</v>
      </c>
      <c r="K989" s="5">
        <f>INDEX(products!$A$1:$G$49, MATCH(orders!$D989, products!$A$1:$A$49, 0), MATCH(orders!K$1, products!$A$1:$G$1, 0))</f>
        <v>0.5</v>
      </c>
      <c r="L989" s="6">
        <f>INDEX(products!$A$1:$G$49, MATCH(orders!$D989, products!$A$1:$A$49, 0), MATCH(orders!L$1, products!$A$1:$G$1, 0))</f>
        <v>5.97</v>
      </c>
      <c r="M989" s="6">
        <f t="shared" si="46"/>
        <v>29.849999999999998</v>
      </c>
      <c r="N989" t="str">
        <f t="shared" si="47"/>
        <v>Arabica</v>
      </c>
      <c r="O989" t="str">
        <f t="shared" si="45"/>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_xlfn.XLOOKUP(C990,customers!$A$2:$A$1001,customers!$B$2:$B$1001,,0)</f>
        <v>Adele McFayden</v>
      </c>
      <c r="G990" s="2" t="str">
        <f>IF(_xlfn.XLOOKUP(C990,customers!$A$1:$A$1001,customers!$C$1:$C$1001,,0)=0,"",_xlfn.XLOOKUP(C990,customers!$A$1:$A$1001,customers!$C$1:$C$1001,,0))</f>
        <v/>
      </c>
      <c r="H990" s="2" t="str">
        <f>_xlfn.XLOOKUP(C990,customers!$A$1:$A$1001,customers!$G$1:$G$1001,,0)</f>
        <v>United Kingdom</v>
      </c>
      <c r="I990" t="str">
        <f>INDEX(products!$A$1:$G$49, MATCH(orders!$D990, products!$A$1:$A$49, 0), MATCH(orders!I$1, products!$A$1:$G$1, 0))</f>
        <v>Rob</v>
      </c>
      <c r="J990" t="str">
        <f>INDEX(products!$A$1:$G$49, MATCH(orders!$D990, products!$A$1:$A$49, 0), MATCH(orders!J$1, products!$A$1:$G$1, 0))</f>
        <v>M</v>
      </c>
      <c r="K990" s="5">
        <f>INDEX(products!$A$1:$G$49, MATCH(orders!$D990, products!$A$1:$A$49, 0), MATCH(orders!K$1, products!$A$1:$G$1, 0))</f>
        <v>1</v>
      </c>
      <c r="L990" s="6">
        <f>INDEX(products!$A$1:$G$49, MATCH(orders!$D990, products!$A$1:$A$49, 0), MATCH(orders!L$1, products!$A$1:$G$1, 0))</f>
        <v>9.9499999999999993</v>
      </c>
      <c r="M990" s="6">
        <f t="shared" si="46"/>
        <v>29.849999999999998</v>
      </c>
      <c r="N990" t="str">
        <f t="shared" si="47"/>
        <v>Robusta</v>
      </c>
      <c r="O990" t="str">
        <f t="shared" si="45"/>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_xlfn.XLOOKUP(C991,customers!$A$2:$A$1001,customers!$B$2:$B$1001,,0)</f>
        <v>Herta Layne</v>
      </c>
      <c r="G991" s="2" t="str">
        <f>IF(_xlfn.XLOOKUP(C991,customers!$A$1:$A$1001,customers!$C$1:$C$1001,,0)=0,"",_xlfn.XLOOKUP(C991,customers!$A$1:$A$1001,customers!$C$1:$C$1001,,0))</f>
        <v/>
      </c>
      <c r="H991" s="2" t="str">
        <f>_xlfn.XLOOKUP(C991,customers!$A$1:$A$1001,customers!$G$1:$G$1001,,0)</f>
        <v>United States</v>
      </c>
      <c r="I991" t="str">
        <f>INDEX(products!$A$1:$G$49, MATCH(orders!$D991, products!$A$1:$A$49, 0), MATCH(orders!I$1, products!$A$1:$G$1, 0))</f>
        <v>Ara</v>
      </c>
      <c r="J991" t="str">
        <f>INDEX(products!$A$1:$G$49, MATCH(orders!$D991, products!$A$1:$A$49, 0), MATCH(orders!J$1, products!$A$1:$G$1, 0))</f>
        <v>M</v>
      </c>
      <c r="K991" s="5">
        <f>INDEX(products!$A$1:$G$49, MATCH(orders!$D991, products!$A$1:$A$49, 0), MATCH(orders!K$1, products!$A$1:$G$1, 0))</f>
        <v>2.5</v>
      </c>
      <c r="L991" s="6">
        <f>INDEX(products!$A$1:$G$49, MATCH(orders!$D991, products!$A$1:$A$49, 0), MATCH(orders!L$1, products!$A$1:$G$1, 0))</f>
        <v>25.874999999999996</v>
      </c>
      <c r="M991" s="6">
        <f t="shared" si="46"/>
        <v>155.24999999999997</v>
      </c>
      <c r="N991" t="str">
        <f t="shared" si="47"/>
        <v>Arabica</v>
      </c>
      <c r="O991" t="str">
        <f t="shared" si="45"/>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_xlfn.XLOOKUP(C992,customers!$A$2:$A$1001,customers!$B$2:$B$1001,,0)</f>
        <v>Marguerite Graves</v>
      </c>
      <c r="G992" s="2" t="str">
        <f>IF(_xlfn.XLOOKUP(C992,customers!$A$1:$A$1001,customers!$C$1:$C$1001,,0)=0,"",_xlfn.XLOOKUP(C992,customers!$A$1:$A$1001,customers!$C$1:$C$1001,,0))</f>
        <v/>
      </c>
      <c r="H992" s="2" t="str">
        <f>_xlfn.XLOOKUP(C992,customers!$A$1:$A$1001,customers!$G$1:$G$1001,,0)</f>
        <v>United States</v>
      </c>
      <c r="I992" t="str">
        <f>INDEX(products!$A$1:$G$49, MATCH(orders!$D992, products!$A$1:$A$49, 0), MATCH(orders!I$1, products!$A$1:$G$1, 0))</f>
        <v>Exc</v>
      </c>
      <c r="J992" t="str">
        <f>INDEX(products!$A$1:$G$49, MATCH(orders!$D992, products!$A$1:$A$49, 0), MATCH(orders!J$1, products!$A$1:$G$1, 0))</f>
        <v>D</v>
      </c>
      <c r="K992" s="5">
        <f>INDEX(products!$A$1:$G$49, MATCH(orders!$D992, products!$A$1:$A$49, 0), MATCH(orders!K$1, products!$A$1:$G$1, 0))</f>
        <v>0.2</v>
      </c>
      <c r="L992" s="6">
        <f>INDEX(products!$A$1:$G$49, MATCH(orders!$D992, products!$A$1:$A$49, 0), MATCH(orders!L$1, products!$A$1:$G$1, 0))</f>
        <v>3.645</v>
      </c>
      <c r="M992" s="6">
        <f t="shared" si="46"/>
        <v>18.225000000000001</v>
      </c>
      <c r="N992" t="str">
        <f t="shared" si="47"/>
        <v>Excelsa</v>
      </c>
      <c r="O992" t="str">
        <f t="shared" si="45"/>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_xlfn.XLOOKUP(C993,customers!$A$2:$A$1001,customers!$B$2:$B$1001,,0)</f>
        <v>Marguerite Graves</v>
      </c>
      <c r="G993" s="2" t="str">
        <f>IF(_xlfn.XLOOKUP(C993,customers!$A$1:$A$1001,customers!$C$1:$C$1001,,0)=0,"",_xlfn.XLOOKUP(C993,customers!$A$1:$A$1001,customers!$C$1:$C$1001,,0))</f>
        <v/>
      </c>
      <c r="H993" s="2" t="str">
        <f>_xlfn.XLOOKUP(C993,customers!$A$1:$A$1001,customers!$G$1:$G$1001,,0)</f>
        <v>United States</v>
      </c>
      <c r="I993" t="str">
        <f>INDEX(products!$A$1:$G$49, MATCH(orders!$D993, products!$A$1:$A$49, 0), MATCH(orders!I$1, products!$A$1:$G$1, 0))</f>
        <v>Lib</v>
      </c>
      <c r="J993" t="str">
        <f>INDEX(products!$A$1:$G$49, MATCH(orders!$D993, products!$A$1:$A$49, 0), MATCH(orders!J$1, products!$A$1:$G$1, 0))</f>
        <v>D</v>
      </c>
      <c r="K993" s="5">
        <f>INDEX(products!$A$1:$G$49, MATCH(orders!$D993, products!$A$1:$A$49, 0), MATCH(orders!K$1, products!$A$1:$G$1, 0))</f>
        <v>0.5</v>
      </c>
      <c r="L993" s="6">
        <f>INDEX(products!$A$1:$G$49, MATCH(orders!$D993, products!$A$1:$A$49, 0), MATCH(orders!L$1, products!$A$1:$G$1, 0))</f>
        <v>7.77</v>
      </c>
      <c r="M993" s="6">
        <f t="shared" si="46"/>
        <v>15.54</v>
      </c>
      <c r="N993" t="str">
        <f t="shared" si="47"/>
        <v>Liberica</v>
      </c>
      <c r="O993" t="str">
        <f t="shared" si="45"/>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_xlfn.XLOOKUP(C994,customers!$A$2:$A$1001,customers!$B$2:$B$1001,,0)</f>
        <v>Desdemona Eye</v>
      </c>
      <c r="G994" s="2" t="str">
        <f>IF(_xlfn.XLOOKUP(C994,customers!$A$1:$A$1001,customers!$C$1:$C$1001,,0)=0,"",_xlfn.XLOOKUP(C994,customers!$A$1:$A$1001,customers!$C$1:$C$1001,,0))</f>
        <v/>
      </c>
      <c r="H994" s="2" t="str">
        <f>_xlfn.XLOOKUP(C994,customers!$A$1:$A$1001,customers!$G$1:$G$1001,,0)</f>
        <v>Ireland</v>
      </c>
      <c r="I994" t="str">
        <f>INDEX(products!$A$1:$G$49, MATCH(orders!$D994, products!$A$1:$A$49, 0), MATCH(orders!I$1, products!$A$1:$G$1, 0))</f>
        <v>Lib</v>
      </c>
      <c r="J994" t="str">
        <f>INDEX(products!$A$1:$G$49, MATCH(orders!$D994, products!$A$1:$A$49, 0), MATCH(orders!J$1, products!$A$1:$G$1, 0))</f>
        <v>L</v>
      </c>
      <c r="K994" s="5">
        <f>INDEX(products!$A$1:$G$49, MATCH(orders!$D994, products!$A$1:$A$49, 0), MATCH(orders!K$1, products!$A$1:$G$1, 0))</f>
        <v>2.5</v>
      </c>
      <c r="L994" s="6">
        <f>INDEX(products!$A$1:$G$49, MATCH(orders!$D994, products!$A$1:$A$49, 0), MATCH(orders!L$1, products!$A$1:$G$1, 0))</f>
        <v>36.454999999999998</v>
      </c>
      <c r="M994" s="6">
        <f t="shared" si="46"/>
        <v>109.36499999999999</v>
      </c>
      <c r="N994" t="str">
        <f t="shared" si="47"/>
        <v>Liberica</v>
      </c>
      <c r="O994" t="str">
        <f t="shared" si="45"/>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_xlfn.XLOOKUP(C995,customers!$A$2:$A$1001,customers!$B$2:$B$1001,,0)</f>
        <v>Margarette Sterland</v>
      </c>
      <c r="G995" s="2" t="str">
        <f>IF(_xlfn.XLOOKUP(C995,customers!$A$1:$A$1001,customers!$C$1:$C$1001,,0)=0,"",_xlfn.XLOOKUP(C995,customers!$A$1:$A$1001,customers!$C$1:$C$1001,,0))</f>
        <v/>
      </c>
      <c r="H995" s="2" t="str">
        <f>_xlfn.XLOOKUP(C995,customers!$A$1:$A$1001,customers!$G$1:$G$1001,,0)</f>
        <v>United States</v>
      </c>
      <c r="I995" t="str">
        <f>INDEX(products!$A$1:$G$49, MATCH(orders!$D995, products!$A$1:$A$49, 0), MATCH(orders!I$1, products!$A$1:$G$1, 0))</f>
        <v>Ara</v>
      </c>
      <c r="J995" t="str">
        <f>INDEX(products!$A$1:$G$49, MATCH(orders!$D995, products!$A$1:$A$49, 0), MATCH(orders!J$1, products!$A$1:$G$1, 0))</f>
        <v>L</v>
      </c>
      <c r="K995" s="5">
        <f>INDEX(products!$A$1:$G$49, MATCH(orders!$D995, products!$A$1:$A$49, 0), MATCH(orders!K$1, products!$A$1:$G$1, 0))</f>
        <v>1</v>
      </c>
      <c r="L995" s="6">
        <f>INDEX(products!$A$1:$G$49, MATCH(orders!$D995, products!$A$1:$A$49, 0), MATCH(orders!L$1, products!$A$1:$G$1, 0))</f>
        <v>12.95</v>
      </c>
      <c r="M995" s="6">
        <f t="shared" si="46"/>
        <v>77.699999999999989</v>
      </c>
      <c r="N995" t="str">
        <f t="shared" si="47"/>
        <v>Arabica</v>
      </c>
      <c r="O995" t="str">
        <f t="shared" si="45"/>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_xlfn.XLOOKUP(C996,customers!$A$2:$A$1001,customers!$B$2:$B$1001,,0)</f>
        <v>Catharine Scoines</v>
      </c>
      <c r="G996" s="2" t="str">
        <f>IF(_xlfn.XLOOKUP(C996,customers!$A$1:$A$1001,customers!$C$1:$C$1001,,0)=0,"",_xlfn.XLOOKUP(C996,customers!$A$1:$A$1001,customers!$C$1:$C$1001,,0))</f>
        <v/>
      </c>
      <c r="H996" s="2" t="str">
        <f>_xlfn.XLOOKUP(C996,customers!$A$1:$A$1001,customers!$G$1:$G$1001,,0)</f>
        <v>Ireland</v>
      </c>
      <c r="I996" t="str">
        <f>INDEX(products!$A$1:$G$49, MATCH(orders!$D996, products!$A$1:$A$49, 0), MATCH(orders!I$1, products!$A$1:$G$1, 0))</f>
        <v>Ara</v>
      </c>
      <c r="J996" t="str">
        <f>INDEX(products!$A$1:$G$49, MATCH(orders!$D996, products!$A$1:$A$49, 0), MATCH(orders!J$1, products!$A$1:$G$1, 0))</f>
        <v>D</v>
      </c>
      <c r="K996" s="5">
        <f>INDEX(products!$A$1:$G$49, MATCH(orders!$D996, products!$A$1:$A$49, 0), MATCH(orders!K$1, products!$A$1:$G$1, 0))</f>
        <v>0.2</v>
      </c>
      <c r="L996" s="6">
        <f>INDEX(products!$A$1:$G$49, MATCH(orders!$D996, products!$A$1:$A$49, 0), MATCH(orders!L$1, products!$A$1:$G$1, 0))</f>
        <v>2.9849999999999999</v>
      </c>
      <c r="M996" s="6">
        <f t="shared" si="46"/>
        <v>8.9550000000000001</v>
      </c>
      <c r="N996" t="str">
        <f t="shared" si="47"/>
        <v>Arabica</v>
      </c>
      <c r="O996" t="str">
        <f t="shared" si="45"/>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_xlfn.XLOOKUP(C997,customers!$A$2:$A$1001,customers!$B$2:$B$1001,,0)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 MATCH(orders!$D997, products!$A$1:$A$49, 0), MATCH(orders!I$1, products!$A$1:$G$1, 0))</f>
        <v>Rob</v>
      </c>
      <c r="J997" t="str">
        <f>INDEX(products!$A$1:$G$49, MATCH(orders!$D997, products!$A$1:$A$49, 0), MATCH(orders!J$1, products!$A$1:$G$1, 0))</f>
        <v>L</v>
      </c>
      <c r="K997" s="5">
        <f>INDEX(products!$A$1:$G$49, MATCH(orders!$D997, products!$A$1:$A$49, 0), MATCH(orders!K$1, products!$A$1:$G$1, 0))</f>
        <v>2.5</v>
      </c>
      <c r="L997" s="6">
        <f>INDEX(products!$A$1:$G$49, MATCH(orders!$D997, products!$A$1:$A$49, 0), MATCH(orders!L$1, products!$A$1:$G$1, 0))</f>
        <v>27.484999999999996</v>
      </c>
      <c r="M997" s="6">
        <f t="shared" si="46"/>
        <v>27.484999999999996</v>
      </c>
      <c r="N997" t="str">
        <f t="shared" si="47"/>
        <v>Robusta</v>
      </c>
      <c r="O997" t="str">
        <f t="shared" si="45"/>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_xlfn.XLOOKUP(C998,customers!$A$2:$A$1001,customers!$B$2:$B$1001,,0)</f>
        <v>Marguerite Graves</v>
      </c>
      <c r="G998" s="2" t="str">
        <f>IF(_xlfn.XLOOKUP(C998,customers!$A$1:$A$1001,customers!$C$1:$C$1001,,0)=0,"",_xlfn.XLOOKUP(C998,customers!$A$1:$A$1001,customers!$C$1:$C$1001,,0))</f>
        <v/>
      </c>
      <c r="H998" s="2" t="str">
        <f>_xlfn.XLOOKUP(C998,customers!$A$1:$A$1001,customers!$G$1:$G$1001,,0)</f>
        <v>United States</v>
      </c>
      <c r="I998" t="str">
        <f>INDEX(products!$A$1:$G$49, MATCH(orders!$D998, products!$A$1:$A$49, 0), MATCH(orders!I$1, products!$A$1:$G$1, 0))</f>
        <v>Rob</v>
      </c>
      <c r="J998" t="str">
        <f>INDEX(products!$A$1:$G$49, MATCH(orders!$D998, products!$A$1:$A$49, 0), MATCH(orders!J$1, products!$A$1:$G$1, 0))</f>
        <v>M</v>
      </c>
      <c r="K998" s="5">
        <f>INDEX(products!$A$1:$G$49, MATCH(orders!$D998, products!$A$1:$A$49, 0), MATCH(orders!K$1, products!$A$1:$G$1, 0))</f>
        <v>0.5</v>
      </c>
      <c r="L998" s="6">
        <f>INDEX(products!$A$1:$G$49, MATCH(orders!$D998, products!$A$1:$A$49, 0), MATCH(orders!L$1, products!$A$1:$G$1, 0))</f>
        <v>5.97</v>
      </c>
      <c r="M998" s="6">
        <f t="shared" si="46"/>
        <v>29.849999999999998</v>
      </c>
      <c r="N998" t="str">
        <f t="shared" si="47"/>
        <v>Robusta</v>
      </c>
      <c r="O998" t="str">
        <f t="shared" si="45"/>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_xlfn.XLOOKUP(C999,customers!$A$2:$A$1001,customers!$B$2:$B$1001,,0)</f>
        <v>Marguerite Graves</v>
      </c>
      <c r="G999" s="2" t="str">
        <f>IF(_xlfn.XLOOKUP(C999,customers!$A$1:$A$1001,customers!$C$1:$C$1001,,0)=0,"",_xlfn.XLOOKUP(C999,customers!$A$1:$A$1001,customers!$C$1:$C$1001,,0))</f>
        <v/>
      </c>
      <c r="H999" s="2" t="str">
        <f>_xlfn.XLOOKUP(C999,customers!$A$1:$A$1001,customers!$G$1:$G$1001,,0)</f>
        <v>United States</v>
      </c>
      <c r="I999" t="str">
        <f>INDEX(products!$A$1:$G$49, MATCH(orders!$D999, products!$A$1:$A$49, 0), MATCH(orders!I$1, products!$A$1:$G$1, 0))</f>
        <v>Ara</v>
      </c>
      <c r="J999" t="str">
        <f>INDEX(products!$A$1:$G$49, MATCH(orders!$D999, products!$A$1:$A$49, 0), MATCH(orders!J$1, products!$A$1:$G$1, 0))</f>
        <v>M</v>
      </c>
      <c r="K999" s="5">
        <f>INDEX(products!$A$1:$G$49, MATCH(orders!$D999, products!$A$1:$A$49, 0), MATCH(orders!K$1, products!$A$1:$G$1, 0))</f>
        <v>0.5</v>
      </c>
      <c r="L999" s="6">
        <f>INDEX(products!$A$1:$G$49, MATCH(orders!$D999, products!$A$1:$A$49, 0), MATCH(orders!L$1, products!$A$1:$G$1, 0))</f>
        <v>6.75</v>
      </c>
      <c r="M999" s="6">
        <f t="shared" si="46"/>
        <v>27</v>
      </c>
      <c r="N999" t="str">
        <f t="shared" si="47"/>
        <v>Arabica</v>
      </c>
      <c r="O999" t="str">
        <f t="shared" si="45"/>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_xlfn.XLOOKUP(C1000,customers!$A$2:$A$1001,customers!$B$2:$B$1001,,0)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 MATCH(orders!$D1000, products!$A$1:$A$49, 0), MATCH(orders!I$1, products!$A$1:$G$1, 0))</f>
        <v>Ara</v>
      </c>
      <c r="J1000" t="str">
        <f>INDEX(products!$A$1:$G$49, MATCH(orders!$D1000, products!$A$1:$A$49, 0), MATCH(orders!J$1, products!$A$1:$G$1, 0))</f>
        <v>D</v>
      </c>
      <c r="K1000" s="5">
        <f>INDEX(products!$A$1:$G$49, MATCH(orders!$D1000, products!$A$1:$A$49, 0), MATCH(orders!K$1, products!$A$1:$G$1, 0))</f>
        <v>1</v>
      </c>
      <c r="L1000" s="6">
        <f>INDEX(products!$A$1:$G$49, MATCH(orders!$D1000, products!$A$1:$A$49, 0), MATCH(orders!L$1, products!$A$1:$G$1, 0))</f>
        <v>9.9499999999999993</v>
      </c>
      <c r="M1000" s="6">
        <f t="shared" si="46"/>
        <v>9.9499999999999993</v>
      </c>
      <c r="N1000" t="str">
        <f t="shared" si="47"/>
        <v>Arabica</v>
      </c>
      <c r="O1000" t="str">
        <f t="shared" si="45"/>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_xlfn.XLOOKUP(C1001,customers!$A$2:$A$1001,customers!$B$2:$B$1001,,0)</f>
        <v>Vidovic Antonelli</v>
      </c>
      <c r="G1001" s="2" t="str">
        <f>IF(_xlfn.XLOOKUP(C1001,customers!$A$1:$A$1001,customers!$C$1:$C$1001,,0)=0,"",_xlfn.XLOOKUP(C1001,customers!$A$1:$A$1001,customers!$C$1:$C$1001,,0))</f>
        <v/>
      </c>
      <c r="H1001" s="2" t="str">
        <f>_xlfn.XLOOKUP(C1001,customers!$A$1:$A$1001,customers!$G$1:$G$1001,,0)</f>
        <v>United Kingdom</v>
      </c>
      <c r="I1001" t="str">
        <f>INDEX(products!$A$1:$G$49, MATCH(orders!$D1001, products!$A$1:$A$49, 0), MATCH(orders!I$1, products!$A$1:$G$1, 0))</f>
        <v>Exc</v>
      </c>
      <c r="J1001" t="str">
        <f>INDEX(products!$A$1:$G$49, MATCH(orders!$D1001, products!$A$1:$A$49, 0), MATCH(orders!J$1, products!$A$1:$G$1, 0))</f>
        <v>M</v>
      </c>
      <c r="K1001" s="5">
        <f>INDEX(products!$A$1:$G$49, MATCH(orders!$D1001, products!$A$1:$A$49, 0), MATCH(orders!K$1, products!$A$1:$G$1, 0))</f>
        <v>0.2</v>
      </c>
      <c r="L1001" s="6">
        <f>INDEX(products!$A$1:$G$49, MATCH(orders!$D1001, products!$A$1:$A$49, 0), MATCH(orders!L$1, products!$A$1:$G$1, 0))</f>
        <v>4.125</v>
      </c>
      <c r="M1001" s="6">
        <f t="shared" si="46"/>
        <v>12.375</v>
      </c>
      <c r="N1001" t="str">
        <f t="shared" si="47"/>
        <v>Excelsa</v>
      </c>
      <c r="O1001" t="str">
        <f t="shared" si="45"/>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Sheet1</vt:lpstr>
      <vt:lpstr>CountryChart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Arya Pareek</cp:lastModifiedBy>
  <cp:revision/>
  <dcterms:created xsi:type="dcterms:W3CDTF">2022-11-26T09:51:45Z</dcterms:created>
  <dcterms:modified xsi:type="dcterms:W3CDTF">2026-02-13T18:21:25Z</dcterms:modified>
  <cp:category/>
  <cp:contentStatus/>
</cp:coreProperties>
</file>